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8c0e5c075ec2cf/Documents/"/>
    </mc:Choice>
  </mc:AlternateContent>
  <xr:revisionPtr revIDLastSave="0" documentId="8_{66A043E1-A830-9C4B-941A-452B27B435D9}" xr6:coauthVersionLast="47" xr6:coauthVersionMax="47" xr10:uidLastSave="{00000000-0000-0000-0000-000000000000}"/>
  <bookViews>
    <workbookView xWindow="3860" yWindow="600" windowWidth="21740" windowHeight="14320" xr2:uid="{A4CD290C-355A-AE40-A4B8-06A56BF0E547}"/>
  </bookViews>
  <sheets>
    <sheet name="COVER" sheetId="5" r:id="rId1"/>
    <sheet name="RAW_FINANCIALS" sheetId="1" r:id="rId2"/>
    <sheet name="HISTORICAL_KPIs" sheetId="2" r:id="rId3"/>
    <sheet name="SEGMENT_REVENUE" sheetId="3" r:id="rId4"/>
    <sheet name="MANAGEMENT_GUIDANCE" sheetId="4" r:id="rId5"/>
    <sheet name="ASSUMPTIONS" sheetId="7" r:id="rId6"/>
    <sheet name="FORECAST_MODEL" sheetId="8" r:id="rId7"/>
    <sheet name="FY26_AOP" sheetId="9" r:id="rId8"/>
    <sheet name="VARIANCE_ANALYSIS" sheetId="10" r:id="rId9"/>
    <sheet name="SCENARIO_ANALYSIS" sheetId="11" r:id="rId10"/>
    <sheet name="KPI_DASHBOARD" sheetId="14" r:id="rId11"/>
    <sheet name="MANAGEMENT_RECOMMENDATIONS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" i="2" l="1"/>
  <c r="J8" i="2"/>
  <c r="J9" i="2"/>
  <c r="J10" i="2"/>
  <c r="J6" i="2"/>
  <c r="K9" i="11"/>
  <c r="K10" i="11"/>
  <c r="K7" i="11"/>
  <c r="E11" i="11"/>
  <c r="K12" i="11" s="1"/>
  <c r="E10" i="11"/>
  <c r="K11" i="11" s="1"/>
  <c r="E9" i="11"/>
  <c r="E8" i="11"/>
  <c r="E6" i="11"/>
  <c r="E7" i="11"/>
  <c r="K8" i="11" s="1"/>
  <c r="E12" i="10"/>
  <c r="E9" i="10"/>
  <c r="E17" i="10"/>
  <c r="E8" i="10"/>
  <c r="E11" i="10" s="1"/>
  <c r="E13" i="10" s="1"/>
  <c r="F12" i="2"/>
  <c r="G12" i="2"/>
  <c r="H12" i="2"/>
  <c r="I12" i="2"/>
  <c r="E12" i="2"/>
  <c r="H11" i="2"/>
  <c r="F11" i="2"/>
  <c r="G11" i="2"/>
  <c r="I11" i="2"/>
  <c r="E11" i="2"/>
  <c r="J17" i="8"/>
  <c r="K17" i="8" s="1"/>
  <c r="L17" i="8" s="1"/>
  <c r="K16" i="8"/>
  <c r="L16" i="8"/>
  <c r="J16" i="8"/>
  <c r="E16" i="8"/>
  <c r="F16" i="8"/>
  <c r="G16" i="8"/>
  <c r="H16" i="8"/>
  <c r="I16" i="8"/>
  <c r="D16" i="8"/>
  <c r="D21" i="1"/>
  <c r="D14" i="8"/>
  <c r="AC5" i="14" s="1"/>
  <c r="E18" i="8"/>
  <c r="F18" i="8"/>
  <c r="G18" i="8"/>
  <c r="H18" i="8"/>
  <c r="I18" i="8"/>
  <c r="D15" i="9" s="1"/>
  <c r="E19" i="8"/>
  <c r="F19" i="8"/>
  <c r="G19" i="8"/>
  <c r="H19" i="8"/>
  <c r="I19" i="8"/>
  <c r="E20" i="8"/>
  <c r="F20" i="8"/>
  <c r="F21" i="8" s="1"/>
  <c r="G20" i="8"/>
  <c r="H20" i="8"/>
  <c r="I20" i="8"/>
  <c r="D17" i="9" s="1"/>
  <c r="E22" i="8"/>
  <c r="F22" i="8"/>
  <c r="G22" i="8"/>
  <c r="H22" i="8"/>
  <c r="I22" i="8"/>
  <c r="D18" i="9" s="1"/>
  <c r="E15" i="8"/>
  <c r="F15" i="8"/>
  <c r="G15" i="8"/>
  <c r="H15" i="8"/>
  <c r="I15" i="8"/>
  <c r="D14" i="9" s="1"/>
  <c r="E14" i="8"/>
  <c r="AC6" i="14" s="1"/>
  <c r="F14" i="8"/>
  <c r="AC7" i="14" s="1"/>
  <c r="G14" i="8"/>
  <c r="AC8" i="14" s="1"/>
  <c r="H14" i="8"/>
  <c r="AC9" i="14" s="1"/>
  <c r="E13" i="8"/>
  <c r="F13" i="8"/>
  <c r="G13" i="8"/>
  <c r="H13" i="8"/>
  <c r="I13" i="8"/>
  <c r="I14" i="8" s="1"/>
  <c r="D13" i="9" s="1"/>
  <c r="E11" i="8"/>
  <c r="F11" i="8"/>
  <c r="G11" i="8"/>
  <c r="H11" i="8"/>
  <c r="I11" i="8"/>
  <c r="D10" i="9" s="1"/>
  <c r="E9" i="8"/>
  <c r="F9" i="8"/>
  <c r="G9" i="8"/>
  <c r="H9" i="8"/>
  <c r="I9" i="8"/>
  <c r="D8" i="9" s="1"/>
  <c r="E8" i="8"/>
  <c r="F8" i="8"/>
  <c r="G8" i="8"/>
  <c r="H8" i="8"/>
  <c r="I8" i="8"/>
  <c r="D7" i="9" s="1"/>
  <c r="E6" i="8"/>
  <c r="F6" i="8"/>
  <c r="G6" i="8"/>
  <c r="H6" i="8"/>
  <c r="I6" i="8"/>
  <c r="D22" i="8"/>
  <c r="D20" i="8"/>
  <c r="D21" i="8" s="1"/>
  <c r="D19" i="8"/>
  <c r="D18" i="8"/>
  <c r="D15" i="8"/>
  <c r="D13" i="8"/>
  <c r="D11" i="8"/>
  <c r="D9" i="8"/>
  <c r="D8" i="8"/>
  <c r="D6" i="8"/>
  <c r="E23" i="1"/>
  <c r="F23" i="1"/>
  <c r="G23" i="1"/>
  <c r="H23" i="1"/>
  <c r="I23" i="1"/>
  <c r="D23" i="1"/>
  <c r="E22" i="1"/>
  <c r="F22" i="1"/>
  <c r="G22" i="1"/>
  <c r="H22" i="1"/>
  <c r="I22" i="1"/>
  <c r="D22" i="1"/>
  <c r="E21" i="1"/>
  <c r="F21" i="1"/>
  <c r="G21" i="1"/>
  <c r="H21" i="1"/>
  <c r="I21" i="1"/>
  <c r="G14" i="3"/>
  <c r="H14" i="3"/>
  <c r="I14" i="3"/>
  <c r="G15" i="3"/>
  <c r="H15" i="3"/>
  <c r="I15" i="3"/>
  <c r="E15" i="3"/>
  <c r="F15" i="3"/>
  <c r="D15" i="3"/>
  <c r="E14" i="3"/>
  <c r="F14" i="3"/>
  <c r="D14" i="3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3" i="2"/>
  <c r="G13" i="2"/>
  <c r="H13" i="2"/>
  <c r="I13" i="2"/>
  <c r="E13" i="2"/>
  <c r="E10" i="2"/>
  <c r="E9" i="2"/>
  <c r="E8" i="2"/>
  <c r="E7" i="2"/>
  <c r="E6" i="2"/>
  <c r="J11" i="2" l="1"/>
  <c r="E21" i="8"/>
  <c r="H21" i="8"/>
  <c r="H7" i="8"/>
  <c r="G21" i="8"/>
  <c r="J12" i="2"/>
  <c r="G7" i="8"/>
  <c r="D12" i="9"/>
  <c r="I21" i="8"/>
  <c r="AC10" i="14"/>
  <c r="I7" i="8"/>
  <c r="K25" i="11"/>
  <c r="K17" i="11"/>
  <c r="D16" i="9"/>
  <c r="E14" i="10"/>
  <c r="D6" i="9"/>
  <c r="J7" i="2"/>
  <c r="F10" i="8"/>
  <c r="AB7" i="14" s="1"/>
  <c r="D10" i="8"/>
  <c r="AB5" i="14" s="1"/>
  <c r="J6" i="8"/>
  <c r="B7" i="14" s="1"/>
  <c r="F7" i="8"/>
  <c r="E7" i="8"/>
  <c r="I12" i="8"/>
  <c r="D11" i="9" s="1"/>
  <c r="H12" i="8"/>
  <c r="G12" i="8"/>
  <c r="I10" i="8"/>
  <c r="H10" i="8"/>
  <c r="AB9" i="14" s="1"/>
  <c r="G10" i="8"/>
  <c r="AB8" i="14" s="1"/>
  <c r="E10" i="8"/>
  <c r="AB6" i="14" s="1"/>
  <c r="F12" i="8"/>
  <c r="D12" i="8"/>
  <c r="E12" i="8"/>
  <c r="D16" i="3"/>
  <c r="F16" i="3"/>
  <c r="E16" i="3"/>
  <c r="H16" i="3"/>
  <c r="I16" i="3"/>
  <c r="G16" i="3"/>
  <c r="K18" i="11" l="1"/>
  <c r="K19" i="11" s="1"/>
  <c r="D9" i="9"/>
  <c r="AB10" i="14"/>
  <c r="J20" i="8"/>
  <c r="J21" i="8" s="1"/>
  <c r="K26" i="11" s="1"/>
  <c r="K27" i="11" s="1"/>
  <c r="J8" i="8"/>
  <c r="J9" i="8" s="1"/>
  <c r="K6" i="8"/>
  <c r="K8" i="8" s="1"/>
  <c r="K9" i="8" s="1"/>
  <c r="E6" i="9"/>
  <c r="J11" i="8"/>
  <c r="J7" i="8"/>
  <c r="K20" i="11"/>
  <c r="K21" i="11" l="1"/>
  <c r="E17" i="9"/>
  <c r="E8" i="9"/>
  <c r="J10" i="8"/>
  <c r="K7" i="8"/>
  <c r="J19" i="8"/>
  <c r="G7" i="14"/>
  <c r="E7" i="9"/>
  <c r="F7" i="9" s="1"/>
  <c r="L6" i="8"/>
  <c r="L7" i="8" s="1"/>
  <c r="K22" i="11"/>
  <c r="K23" i="11"/>
  <c r="K24" i="11" s="1"/>
  <c r="K10" i="8"/>
  <c r="AB12" i="14" s="1"/>
  <c r="F8" i="9"/>
  <c r="D8" i="10"/>
  <c r="J12" i="8"/>
  <c r="E11" i="9" s="1"/>
  <c r="F11" i="9" s="1"/>
  <c r="E10" i="9"/>
  <c r="F17" i="9"/>
  <c r="D16" i="10"/>
  <c r="J13" i="8"/>
  <c r="J15" i="8" s="1"/>
  <c r="F6" i="9"/>
  <c r="D6" i="10"/>
  <c r="K11" i="8"/>
  <c r="K12" i="8" s="1"/>
  <c r="K20" i="8"/>
  <c r="K21" i="8" s="1"/>
  <c r="D7" i="10" l="1"/>
  <c r="K19" i="8"/>
  <c r="L19" i="8" s="1"/>
  <c r="E9" i="9"/>
  <c r="L7" i="14"/>
  <c r="AB11" i="14"/>
  <c r="L20" i="8"/>
  <c r="L21" i="8" s="1"/>
  <c r="E16" i="9"/>
  <c r="J22" i="8"/>
  <c r="L11" i="8"/>
  <c r="L12" i="8" s="1"/>
  <c r="L8" i="8"/>
  <c r="L9" i="8" s="1"/>
  <c r="L10" i="8" s="1"/>
  <c r="AB13" i="14" s="1"/>
  <c r="J18" i="8"/>
  <c r="E14" i="9"/>
  <c r="K22" i="8"/>
  <c r="G16" i="10"/>
  <c r="F16" i="10"/>
  <c r="F10" i="9"/>
  <c r="D10" i="10"/>
  <c r="J14" i="8"/>
  <c r="E12" i="9"/>
  <c r="G7" i="10"/>
  <c r="F7" i="10"/>
  <c r="G8" i="10"/>
  <c r="F8" i="10"/>
  <c r="G6" i="10"/>
  <c r="F6" i="10"/>
  <c r="K13" i="8"/>
  <c r="L22" i="8" l="1"/>
  <c r="D15" i="10"/>
  <c r="F16" i="9"/>
  <c r="E13" i="9"/>
  <c r="AC11" i="14"/>
  <c r="B15" i="14"/>
  <c r="E15" i="9"/>
  <c r="F15" i="9" s="1"/>
  <c r="G15" i="14"/>
  <c r="D9" i="10"/>
  <c r="G9" i="10" s="1"/>
  <c r="F9" i="9"/>
  <c r="E18" i="9"/>
  <c r="L15" i="14"/>
  <c r="L13" i="8"/>
  <c r="L15" i="8" s="1"/>
  <c r="L18" i="8" s="1"/>
  <c r="K15" i="8"/>
  <c r="K18" i="8" s="1"/>
  <c r="K14" i="8"/>
  <c r="AC12" i="14" s="1"/>
  <c r="F10" i="10"/>
  <c r="G10" i="10"/>
  <c r="D13" i="10"/>
  <c r="F14" i="9"/>
  <c r="F12" i="9"/>
  <c r="D11" i="10"/>
  <c r="F13" i="9"/>
  <c r="D12" i="10"/>
  <c r="G12" i="10" s="1"/>
  <c r="D14" i="10"/>
  <c r="L14" i="8" l="1"/>
  <c r="AC13" i="14" s="1"/>
  <c r="F18" i="9"/>
  <c r="D17" i="10"/>
  <c r="F15" i="10"/>
  <c r="G15" i="10"/>
  <c r="F14" i="10"/>
  <c r="G14" i="10"/>
  <c r="F11" i="10"/>
  <c r="G11" i="10"/>
  <c r="F13" i="10"/>
  <c r="G13" i="10"/>
  <c r="G17" i="10" l="1"/>
  <c r="F17" i="10"/>
</calcChain>
</file>

<file path=xl/sharedStrings.xml><?xml version="1.0" encoding="utf-8"?>
<sst xmlns="http://schemas.openxmlformats.org/spreadsheetml/2006/main" count="270" uniqueCount="164">
  <si>
    <t>Metric</t>
  </si>
  <si>
    <t>Revenue</t>
  </si>
  <si>
    <t>Cost of Sales</t>
  </si>
  <si>
    <t>SG&amp;A</t>
  </si>
  <si>
    <t>Operating Income</t>
  </si>
  <si>
    <t>Operating Margin</t>
  </si>
  <si>
    <t>Net Income</t>
  </si>
  <si>
    <t>EPS</t>
  </si>
  <si>
    <t>Operating Cash Flow</t>
  </si>
  <si>
    <t>Capital Expenditure</t>
  </si>
  <si>
    <t>Free Cash Flow</t>
  </si>
  <si>
    <t>Gross Profit</t>
  </si>
  <si>
    <t>KPI</t>
  </si>
  <si>
    <t>Revenue Growth %</t>
  </si>
  <si>
    <t>Gross Margin %</t>
  </si>
  <si>
    <t>Operating Margin %</t>
  </si>
  <si>
    <t>SG&amp;A % Revenue</t>
  </si>
  <si>
    <t>EPS Growth %</t>
  </si>
  <si>
    <t>Free Cash Flow Growth %</t>
  </si>
  <si>
    <t>Segment</t>
  </si>
  <si>
    <t>Frito-Lay North America</t>
  </si>
  <si>
    <t>Quaker Foods North America</t>
  </si>
  <si>
    <t>Pepsico Beverages North America</t>
  </si>
  <si>
    <t>Latin America</t>
  </si>
  <si>
    <t>Europe</t>
  </si>
  <si>
    <t>Africa, Middle East &amp; South Asia</t>
  </si>
  <si>
    <t>Asia Pacific Australia &amp; New Zealand China Region</t>
  </si>
  <si>
    <t>FY20</t>
  </si>
  <si>
    <t>FY21</t>
  </si>
  <si>
    <t>FY22</t>
  </si>
  <si>
    <t>FY23</t>
  </si>
  <si>
    <t>FY24</t>
  </si>
  <si>
    <t>FY25</t>
  </si>
  <si>
    <t>Total Segment Revenue</t>
  </si>
  <si>
    <t>Company Revenue</t>
  </si>
  <si>
    <t>Difference</t>
  </si>
  <si>
    <t>Year</t>
  </si>
  <si>
    <t>Commentary</t>
  </si>
  <si>
    <t>Category</t>
  </si>
  <si>
    <t>Forecast Impact</t>
  </si>
  <si>
    <t>Effective net pricing became the primary driver</t>
  </si>
  <si>
    <t>Moderate revenue growth</t>
  </si>
  <si>
    <t>Organic volumes declined in North America</t>
  </si>
  <si>
    <t>Conservative volume assumptions</t>
  </si>
  <si>
    <t>Costs</t>
  </si>
  <si>
    <t xml:space="preserve">Commodity costs remained elevated </t>
  </si>
  <si>
    <t>Higher COGS</t>
  </si>
  <si>
    <t>Tariffs increased input costs</t>
  </si>
  <si>
    <t>Margin pressure</t>
  </si>
  <si>
    <t>Margins</t>
  </si>
  <si>
    <t>Productivity savings offset inflation</t>
  </si>
  <si>
    <t>Stable operating margins</t>
  </si>
  <si>
    <t>Productivity savings offset cost pressures</t>
  </si>
  <si>
    <t>Stable margins</t>
  </si>
  <si>
    <t>Outlook</t>
  </si>
  <si>
    <t>Operating profit increased despite volume pressure</t>
  </si>
  <si>
    <t>Margins remain resilient</t>
  </si>
  <si>
    <t>Data Sources:</t>
  </si>
  <si>
    <t>• PepsiCo SEC 10-K Filings</t>
  </si>
  <si>
    <t>• Annual Reports</t>
  </si>
  <si>
    <t>• Management Discussion &amp; Analysis</t>
  </si>
  <si>
    <t>FY26</t>
  </si>
  <si>
    <t>FY27</t>
  </si>
  <si>
    <t>FY28</t>
  </si>
  <si>
    <t>Pricing Growth %</t>
  </si>
  <si>
    <t>Volume growth %</t>
  </si>
  <si>
    <t>Cost inflation %</t>
  </si>
  <si>
    <t>COGS % Revenue</t>
  </si>
  <si>
    <t>Tax Rate</t>
  </si>
  <si>
    <t>Share Count Growth</t>
  </si>
  <si>
    <t>Drivers</t>
  </si>
  <si>
    <t>Operating Cashflow</t>
  </si>
  <si>
    <t>Effective tax rate</t>
  </si>
  <si>
    <t>Diluted Shares Outstanding</t>
  </si>
  <si>
    <t>Capex Growth %</t>
  </si>
  <si>
    <t>Capex revenue %</t>
  </si>
  <si>
    <t>Notes:</t>
  </si>
  <si>
    <t>• Operating income forecast excludes non - recurring impairment and other operating expenses, representing normalized operating performance.</t>
  </si>
  <si>
    <t>• Revenue Forecast driven by pricing and volume assumptions.</t>
  </si>
  <si>
    <t>• CapEx forecast is based on historical average percentage of revenue.</t>
  </si>
  <si>
    <t>• Share count assumed flat through FY28.</t>
  </si>
  <si>
    <t>Growth %</t>
  </si>
  <si>
    <t>Capital Expenditures</t>
  </si>
  <si>
    <t>Variance $</t>
  </si>
  <si>
    <t>Variance %</t>
  </si>
  <si>
    <t>Revenue missed budget due to softer consumer demand and lower unit volumes, partially offset by pricing actions.</t>
  </si>
  <si>
    <t>Commodity, packiging and freight costs remained elevated, resulting in higher than budget production expenses.</t>
  </si>
  <si>
    <t>Gross profit declined due to lower revenue and inflationary cost pressures that were not fully offset by pricing.</t>
  </si>
  <si>
    <t>Gross margin contracted as cost inflation outpaced pricing and productivity initiatives.</t>
  </si>
  <si>
    <t>SG&amp;A exceeded budget due to higher adversting, promotional spending and investment in digital initiatives.</t>
  </si>
  <si>
    <t>Operating income declined as lower gross profit and higher SG&amp;A expenses compressed profitablility.</t>
  </si>
  <si>
    <t>Operating margin fell below budget driven by weaker sales and inflationary cost pressures.</t>
  </si>
  <si>
    <t>Net income declined inline with lower operating income and reduced profitability.</t>
  </si>
  <si>
    <t>EPS was below budget primarily due to lower earnings performance during the year.</t>
  </si>
  <si>
    <t>Operating cashflow was lower than budget due to weaker earnings and higher working capital requirements.</t>
  </si>
  <si>
    <t>Capital spending came in below budget as certain manufacturing and productivity projects were deferred.</t>
  </si>
  <si>
    <t>Free cashflow declined as lower operating cashflow more than offset reduced capital spending.</t>
  </si>
  <si>
    <t>Assumptions</t>
  </si>
  <si>
    <t>Downside</t>
  </si>
  <si>
    <t>Upside</t>
  </si>
  <si>
    <t>Volume Growth %</t>
  </si>
  <si>
    <t>Cost Inflation %</t>
  </si>
  <si>
    <t>Output Metrics</t>
  </si>
  <si>
    <t>Selected scenario</t>
  </si>
  <si>
    <t>Base</t>
  </si>
  <si>
    <t>Active assumptions</t>
  </si>
  <si>
    <t>Value</t>
  </si>
  <si>
    <t>Cost of sales</t>
  </si>
  <si>
    <t>CapEx</t>
  </si>
  <si>
    <t>CapEX % Revenue</t>
  </si>
  <si>
    <t>REVENUE</t>
  </si>
  <si>
    <t>GROSS MARGIN %</t>
  </si>
  <si>
    <t>OPERATING MARGIN %</t>
  </si>
  <si>
    <t>FREE CASH FLOW</t>
  </si>
  <si>
    <t>YEAR</t>
  </si>
  <si>
    <t>REVENUE GROWTH</t>
  </si>
  <si>
    <t>PEPSICO FP&amp;A DASHBOARD
FY26 ANNUAL OPERATING PLAN</t>
  </si>
  <si>
    <t>HISTORICAL PERFORMANCE (FY20 - FY25) AND FY26-FY28 FORECAST</t>
  </si>
  <si>
    <t>Priority</t>
  </si>
  <si>
    <t>Observation</t>
  </si>
  <si>
    <t>Business Impact</t>
  </si>
  <si>
    <t>Estimated Financial Impact</t>
  </si>
  <si>
    <t>Owner</t>
  </si>
  <si>
    <t>High</t>
  </si>
  <si>
    <t>Cost of Sales and SG&amp;A remianed elevated relative to budget, reducing operating profitability despite revenue growth.</t>
  </si>
  <si>
    <t>Pricing has been the primary driver for revenue growth whereas uit volume growth has been weak across recent periods.</t>
  </si>
  <si>
    <t>Reliance on price increases may limit long term revenue growth if consumers end up shifting toward lower priced alternatives.</t>
  </si>
  <si>
    <t>Increase focus on volume led growth through product innovation, targeted promotions, and expansion of high growth product categories while maintaining disciplined pricing strategies.</t>
  </si>
  <si>
    <t>A 1% improvemnet in annual volume growth could increase revenue by approximately $0.9 - 1.0 billion based on the FY26 revenue forecast.</t>
  </si>
  <si>
    <t>Commercial Finance/ Sales.</t>
  </si>
  <si>
    <t>Higher operating costs compress margins and reduce earnings and free cash flow available for reinvestment.</t>
  </si>
  <si>
    <t>Contnue productivity initiatives, strengthen procurement efficiency and optimize SG&amp;A spending while procteting strategic growth invetsments.</t>
  </si>
  <si>
    <t>A 0.5 percentage point reduction in COGS could improve annual operating income by approximately $490 million based on the FY26 revenue forecast.</t>
  </si>
  <si>
    <t>Supply Chain/ Procuremnt/ Finance</t>
  </si>
  <si>
    <t>Medium</t>
  </si>
  <si>
    <t>Free cash flwo has remianed positive but varies with changes in operating cash flwo and capital expenditures.</t>
  </si>
  <si>
    <t>Strong and consistent free cash flow provides greater flexibility for capital investments, dividends, share repurchases, and debt reduction.</t>
  </si>
  <si>
    <t>Prioritze high return capital projects and continuously evaluate capital spending to maximize long term shareholder value while maintaining healthy cash generation.</t>
  </si>
  <si>
    <t>A 5% improvement in operating cash flow would increase annual free cash flow by approximately $600 million, assuming capital spending remians constant.</t>
  </si>
  <si>
    <t>Finance/ Treasury/ Capital Planning</t>
  </si>
  <si>
    <t>Budget to actual variances indicate that several planning assumptions differed from actual business performance.</t>
  </si>
  <si>
    <t>Enhance rolling forecasts by incorporating monthly variance reviews and updated business assumptions to improve forecast accuracy.</t>
  </si>
  <si>
    <t>Forecast inaccuracies may delay management decisions and reduce the effectiveness of financial planning.</t>
  </si>
  <si>
    <t>Improved forecast accuracy can support timely resource allocation and reduce unexpected budget variances across business units.</t>
  </si>
  <si>
    <t>FP&amp;A</t>
  </si>
  <si>
    <t>Low</t>
  </si>
  <si>
    <t>Business performace remians sensitive to inflation, foreign exchange movements, commodity costs, and changes in consumer demand.</t>
  </si>
  <si>
    <t>Continue using scenario analysis during the planning process to evaluate potential risks and prepare contingency plans for changing market conditions.</t>
  </si>
  <si>
    <t>External market conditions may significantly affect revenue growth, operaing margins and profitability.</t>
  </si>
  <si>
    <t>Proactive scenario planning supports faster decision making and helps protect profitability inder changing economic conditions.</t>
  </si>
  <si>
    <t>FP&amp;A/ Executive Leadership</t>
  </si>
  <si>
    <t>Recommendation</t>
  </si>
  <si>
    <t>Revenue growth %</t>
  </si>
  <si>
    <t>COGS % revenue</t>
  </si>
  <si>
    <t>SG&amp;A % revenue</t>
  </si>
  <si>
    <t>average</t>
  </si>
  <si>
    <t>FY24-FY25 segments have been mapped to maintain consistency with historical reporting</t>
  </si>
  <si>
    <t>PEPSICO</t>
  </si>
  <si>
    <t>PepsiCo FP&amp;A Annual Operating Plan</t>
  </si>
  <si>
    <t>Budgeting &amp; Forecasting Model</t>
  </si>
  <si>
    <r>
      <t xml:space="preserve">Historical Period:
</t>
    </r>
    <r>
      <rPr>
        <sz val="16"/>
        <color theme="2" tint="-0.499984740745262"/>
        <rFont val="Open Sans"/>
      </rPr>
      <t>FY2020 - FY2025</t>
    </r>
  </si>
  <si>
    <r>
      <t xml:space="preserve">Forecast Period:
</t>
    </r>
    <r>
      <rPr>
        <sz val="16"/>
        <color theme="2" tint="-0.499984740745262"/>
        <rFont val="Open Sans"/>
      </rPr>
      <t>FY2026 - FY2028</t>
    </r>
  </si>
  <si>
    <t xml:space="preserve">• PepsiCo SEC 10-K filings </t>
  </si>
  <si>
    <t>• Management Discussion &amp; Annalysis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</si>
</sst>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&quot;$&quot;#,##0"/>
    <numFmt numFmtId="165" formatCode="0.00\%"/>
    <numFmt numFmtId="166" formatCode="0.0%"/>
    <numFmt numFmtId="167" formatCode="&quot;FY&quot;0&quot;A&quot;"/>
    <numFmt numFmtId="168" formatCode="&quot;FY&quot;0&quot;F&quot;"/>
    <numFmt numFmtId="169" formatCode="0.0\%"/>
    <numFmt numFmtId="170" formatCode="&quot;FY&quot;0&quot; Budget&quot;"/>
    <numFmt numFmtId="171" formatCode="0.000\%"/>
    <numFmt numFmtId="172" formatCode="0.0,\B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Open Sans"/>
    </font>
    <font>
      <sz val="10"/>
      <color rgb="FF000000"/>
      <name val="Open Sans"/>
    </font>
    <font>
      <sz val="8"/>
      <name val="Aptos Narrow"/>
      <family val="2"/>
      <scheme val="minor"/>
    </font>
    <font>
      <sz val="12"/>
      <color theme="1"/>
      <name val="Open Sans"/>
    </font>
    <font>
      <sz val="10"/>
      <color rgb="FF3F87DB"/>
      <name val="Open Sans"/>
    </font>
    <font>
      <b/>
      <sz val="12"/>
      <color rgb="FF3F87DB"/>
      <name val="Open Sans"/>
    </font>
    <font>
      <b/>
      <sz val="10"/>
      <color theme="1"/>
      <name val="Open Sans"/>
    </font>
    <font>
      <b/>
      <sz val="14"/>
      <color rgb="FF3271D2"/>
      <name val="Open Sans"/>
    </font>
    <font>
      <sz val="10"/>
      <color rgb="FF3271D2"/>
      <name val="Open Sans"/>
    </font>
    <font>
      <sz val="14"/>
      <color theme="1"/>
      <name val="Open Sans"/>
    </font>
    <font>
      <b/>
      <sz val="14"/>
      <color rgb="FF0673D9"/>
      <name val="Open Sans"/>
    </font>
    <font>
      <b/>
      <sz val="16"/>
      <color theme="1"/>
      <name val="Open Sans"/>
    </font>
    <font>
      <b/>
      <sz val="36"/>
      <color rgb="FF0070C0"/>
      <name val="Open Sans"/>
    </font>
    <font>
      <sz val="14"/>
      <color theme="1"/>
      <name val="Open Sans Light Italic"/>
    </font>
    <font>
      <b/>
      <sz val="16"/>
      <color theme="0"/>
      <name val="Open Sans"/>
    </font>
    <font>
      <sz val="10"/>
      <color theme="1"/>
      <name val="Open Sans Light Italic"/>
    </font>
    <font>
      <b/>
      <sz val="16"/>
      <color rgb="FF3271D2"/>
      <name val="Open Sans"/>
    </font>
    <font>
      <sz val="16"/>
      <color theme="1"/>
      <name val="Aptos Narrow"/>
      <family val="2"/>
      <scheme val="minor"/>
    </font>
    <font>
      <sz val="36"/>
      <color theme="1"/>
      <name val="Aptos Narrow"/>
      <scheme val="minor"/>
    </font>
    <font>
      <b/>
      <sz val="36"/>
      <color rgb="FF0070C0"/>
      <name val="Aptos Narrow"/>
      <scheme val="minor"/>
    </font>
    <font>
      <sz val="16"/>
      <color rgb="FF0070C0"/>
      <name val="Open Sans"/>
    </font>
    <font>
      <sz val="16"/>
      <color theme="2" tint="-0.499984740745262"/>
      <name val="Open Sans"/>
    </font>
    <font>
      <i/>
      <sz val="24"/>
      <color theme="2" tint="-0.499984740745262"/>
      <name val="Aptos Narrow"/>
      <scheme val="minor"/>
    </font>
    <font>
      <sz val="20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5F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070C0"/>
      </bottom>
      <diagonal/>
    </border>
    <border>
      <left/>
      <right/>
      <top style="thin">
        <color rgb="FF0070C0"/>
      </top>
      <bottom style="thick">
        <color rgb="FF0070C0"/>
      </bottom>
      <diagonal/>
    </border>
    <border>
      <left/>
      <right/>
      <top style="thin">
        <color rgb="FF3271D2"/>
      </top>
      <bottom style="thick">
        <color rgb="FF3271D2"/>
      </bottom>
      <diagonal/>
    </border>
    <border>
      <left style="thick">
        <color theme="3" tint="0.24994659260841701"/>
      </left>
      <right/>
      <top style="thick">
        <color theme="3" tint="0.24994659260841701"/>
      </top>
      <bottom/>
      <diagonal/>
    </border>
    <border>
      <left/>
      <right/>
      <top style="thick">
        <color theme="3" tint="0.24994659260841701"/>
      </top>
      <bottom/>
      <diagonal/>
    </border>
    <border>
      <left/>
      <right style="thick">
        <color theme="3" tint="0.24994659260841701"/>
      </right>
      <top style="thick">
        <color theme="3" tint="0.24994659260841701"/>
      </top>
      <bottom/>
      <diagonal/>
    </border>
    <border>
      <left style="thick">
        <color theme="3" tint="0.24994659260841701"/>
      </left>
      <right/>
      <top/>
      <bottom/>
      <diagonal/>
    </border>
    <border>
      <left/>
      <right style="thick">
        <color theme="3" tint="0.24994659260841701"/>
      </right>
      <top/>
      <bottom/>
      <diagonal/>
    </border>
    <border>
      <left style="thick">
        <color theme="3" tint="0.24994659260841701"/>
      </left>
      <right/>
      <top/>
      <bottom style="thick">
        <color theme="3" tint="0.24994659260841701"/>
      </bottom>
      <diagonal/>
    </border>
    <border>
      <left/>
      <right/>
      <top/>
      <bottom style="thick">
        <color theme="3" tint="0.24994659260841701"/>
      </bottom>
      <diagonal/>
    </border>
    <border>
      <left/>
      <right style="thick">
        <color theme="3" tint="0.24994659260841701"/>
      </right>
      <top/>
      <bottom style="thick">
        <color theme="3" tint="0.2499465926084170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rgb="FF0070C0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3" fontId="2" fillId="0" borderId="0" xfId="1" applyNumberFormat="1" applyFont="1"/>
    <xf numFmtId="3" fontId="3" fillId="0" borderId="0" xfId="1" applyNumberFormat="1" applyFont="1"/>
    <xf numFmtId="165" fontId="2" fillId="0" borderId="0" xfId="0" applyNumberFormat="1" applyFont="1"/>
    <xf numFmtId="4" fontId="2" fillId="0" borderId="0" xfId="1" applyNumberFormat="1" applyFont="1"/>
    <xf numFmtId="164" fontId="2" fillId="0" borderId="0" xfId="0" applyNumberFormat="1" applyFont="1"/>
    <xf numFmtId="166" fontId="2" fillId="0" borderId="0" xfId="2" applyNumberFormat="1" applyFont="1"/>
    <xf numFmtId="3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10" fontId="2" fillId="0" borderId="0" xfId="2" applyNumberFormat="1" applyFont="1"/>
    <xf numFmtId="10" fontId="2" fillId="0" borderId="0" xfId="0" applyNumberFormat="1" applyFont="1"/>
    <xf numFmtId="10" fontId="6" fillId="0" borderId="0" xfId="2" applyNumberFormat="1" applyFont="1"/>
    <xf numFmtId="0" fontId="7" fillId="0" borderId="0" xfId="0" applyFont="1"/>
    <xf numFmtId="0" fontId="7" fillId="2" borderId="0" xfId="0" applyFont="1" applyFill="1"/>
    <xf numFmtId="0" fontId="2" fillId="2" borderId="0" xfId="0" applyFont="1" applyFill="1"/>
    <xf numFmtId="4" fontId="2" fillId="0" borderId="0" xfId="0" applyNumberFormat="1" applyFont="1"/>
    <xf numFmtId="169" fontId="2" fillId="0" borderId="0" xfId="2" applyNumberFormat="1" applyFont="1"/>
    <xf numFmtId="2" fontId="2" fillId="0" borderId="0" xfId="0" applyNumberFormat="1" applyFont="1"/>
    <xf numFmtId="3" fontId="10" fillId="0" borderId="0" xfId="0" applyNumberFormat="1" applyFont="1"/>
    <xf numFmtId="166" fontId="10" fillId="0" borderId="0" xfId="2" applyNumberFormat="1" applyFont="1"/>
    <xf numFmtId="10" fontId="10" fillId="0" borderId="0" xfId="0" applyNumberFormat="1" applyFont="1"/>
    <xf numFmtId="0" fontId="9" fillId="2" borderId="0" xfId="0" applyFont="1" applyFill="1"/>
    <xf numFmtId="4" fontId="10" fillId="0" borderId="0" xfId="0" applyNumberFormat="1" applyFont="1"/>
    <xf numFmtId="167" fontId="2" fillId="3" borderId="1" xfId="0" applyNumberFormat="1" applyFont="1" applyFill="1" applyBorder="1"/>
    <xf numFmtId="168" fontId="2" fillId="3" borderId="2" xfId="0" applyNumberFormat="1" applyFont="1" applyFill="1" applyBorder="1"/>
    <xf numFmtId="0" fontId="11" fillId="0" borderId="0" xfId="0" applyFont="1"/>
    <xf numFmtId="171" fontId="2" fillId="0" borderId="0" xfId="2" applyNumberFormat="1" applyFont="1"/>
    <xf numFmtId="166" fontId="6" fillId="0" borderId="0" xfId="0" applyNumberFormat="1" applyFont="1"/>
    <xf numFmtId="10" fontId="6" fillId="0" borderId="0" xfId="0" applyNumberFormat="1" applyFont="1"/>
    <xf numFmtId="166" fontId="6" fillId="0" borderId="0" xfId="2" applyNumberFormat="1" applyFont="1"/>
    <xf numFmtId="0" fontId="12" fillId="2" borderId="0" xfId="0" applyFont="1" applyFill="1"/>
    <xf numFmtId="167" fontId="2" fillId="3" borderId="3" xfId="0" applyNumberFormat="1" applyFont="1" applyFill="1" applyBorder="1"/>
    <xf numFmtId="170" fontId="2" fillId="3" borderId="3" xfId="0" applyNumberFormat="1" applyFont="1" applyFill="1" applyBorder="1" applyAlignment="1">
      <alignment horizontal="right"/>
    </xf>
    <xf numFmtId="0" fontId="2" fillId="3" borderId="3" xfId="0" applyFont="1" applyFill="1" applyBorder="1"/>
    <xf numFmtId="170" fontId="2" fillId="3" borderId="2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10" fontId="5" fillId="0" borderId="0" xfId="0" applyNumberFormat="1" applyFont="1"/>
    <xf numFmtId="2" fontId="5" fillId="0" borderId="0" xfId="0" applyNumberFormat="1" applyFont="1"/>
    <xf numFmtId="166" fontId="5" fillId="0" borderId="0" xfId="2" applyNumberFormat="1" applyFont="1"/>
    <xf numFmtId="10" fontId="5" fillId="0" borderId="0" xfId="2" applyNumberFormat="1" applyFont="1"/>
    <xf numFmtId="3" fontId="5" fillId="0" borderId="0" xfId="0" applyNumberFormat="1" applyFont="1"/>
    <xf numFmtId="0" fontId="0" fillId="0" borderId="0" xfId="0" applyAlignment="1">
      <alignment horizontal="center"/>
    </xf>
    <xf numFmtId="168" fontId="2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0" fontId="16" fillId="5" borderId="0" xfId="0" applyFont="1" applyFill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7" fillId="0" borderId="0" xfId="0" applyFont="1"/>
    <xf numFmtId="0" fontId="18" fillId="2" borderId="0" xfId="0" applyFont="1" applyFill="1"/>
    <xf numFmtId="0" fontId="8" fillId="4" borderId="1" xfId="0" applyFont="1" applyFill="1" applyBorder="1" applyAlignment="1">
      <alignment horizontal="right" vertical="center"/>
    </xf>
    <xf numFmtId="0" fontId="0" fillId="0" borderId="15" xfId="0" applyBorder="1"/>
    <xf numFmtId="0" fontId="0" fillId="0" borderId="1" xfId="0" applyBorder="1"/>
    <xf numFmtId="0" fontId="25" fillId="0" borderId="0" xfId="0" applyFont="1"/>
    <xf numFmtId="0" fontId="19" fillId="0" borderId="0" xfId="0" applyFont="1"/>
    <xf numFmtId="0" fontId="2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17" fillId="0" borderId="0" xfId="0" applyFont="1"/>
    <xf numFmtId="172" fontId="14" fillId="4" borderId="7" xfId="0" applyNumberFormat="1" applyFont="1" applyFill="1" applyBorder="1" applyAlignment="1">
      <alignment horizontal="center" vertical="center"/>
    </xf>
    <xf numFmtId="172" fontId="14" fillId="4" borderId="0" xfId="0" applyNumberFormat="1" applyFont="1" applyFill="1" applyAlignment="1">
      <alignment horizontal="center" vertical="center"/>
    </xf>
    <xf numFmtId="172" fontId="14" fillId="4" borderId="8" xfId="0" applyNumberFormat="1" applyFont="1" applyFill="1" applyBorder="1" applyAlignment="1">
      <alignment horizontal="center" vertical="center"/>
    </xf>
    <xf numFmtId="172" fontId="14" fillId="4" borderId="9" xfId="0" applyNumberFormat="1" applyFont="1" applyFill="1" applyBorder="1" applyAlignment="1">
      <alignment horizontal="center" vertical="center"/>
    </xf>
    <xf numFmtId="172" fontId="14" fillId="4" borderId="10" xfId="0" applyNumberFormat="1" applyFont="1" applyFill="1" applyBorder="1" applyAlignment="1">
      <alignment horizontal="center" vertical="center"/>
    </xf>
    <xf numFmtId="172" fontId="14" fillId="4" borderId="1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166" fontId="14" fillId="4" borderId="7" xfId="2" applyNumberFormat="1" applyFont="1" applyFill="1" applyBorder="1" applyAlignment="1">
      <alignment horizontal="center" vertical="center"/>
    </xf>
    <xf numFmtId="166" fontId="14" fillId="4" borderId="0" xfId="2" applyNumberFormat="1" applyFont="1" applyFill="1" applyBorder="1" applyAlignment="1">
      <alignment horizontal="center" vertical="center"/>
    </xf>
    <xf numFmtId="166" fontId="14" fillId="4" borderId="8" xfId="2" applyNumberFormat="1" applyFont="1" applyFill="1" applyBorder="1" applyAlignment="1">
      <alignment horizontal="center" vertical="center"/>
    </xf>
    <xf numFmtId="166" fontId="14" fillId="4" borderId="9" xfId="2" applyNumberFormat="1" applyFont="1" applyFill="1" applyBorder="1" applyAlignment="1">
      <alignment horizontal="center" vertical="center"/>
    </xf>
    <xf numFmtId="166" fontId="14" fillId="4" borderId="10" xfId="2" applyNumberFormat="1" applyFont="1" applyFill="1" applyBorder="1" applyAlignment="1">
      <alignment horizontal="center" vertical="center"/>
    </xf>
    <xf numFmtId="166" fontId="14" fillId="4" borderId="11" xfId="2" applyNumberFormat="1" applyFont="1" applyFill="1" applyBorder="1" applyAlignment="1">
      <alignment horizontal="center" vertical="center"/>
    </xf>
    <xf numFmtId="4" fontId="14" fillId="4" borderId="7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172" fontId="14" fillId="4" borderId="7" xfId="1" applyNumberFormat="1" applyFont="1" applyFill="1" applyBorder="1" applyAlignment="1">
      <alignment horizontal="center" vertical="center"/>
    </xf>
    <xf numFmtId="172" fontId="14" fillId="4" borderId="0" xfId="1" applyNumberFormat="1" applyFont="1" applyFill="1" applyBorder="1" applyAlignment="1">
      <alignment horizontal="center" vertical="center"/>
    </xf>
    <xf numFmtId="172" fontId="14" fillId="4" borderId="8" xfId="1" applyNumberFormat="1" applyFont="1" applyFill="1" applyBorder="1" applyAlignment="1">
      <alignment horizontal="center" vertical="center"/>
    </xf>
    <xf numFmtId="172" fontId="14" fillId="4" borderId="9" xfId="1" applyNumberFormat="1" applyFont="1" applyFill="1" applyBorder="1" applyAlignment="1">
      <alignment horizontal="center" vertical="center"/>
    </xf>
    <xf numFmtId="172" fontId="14" fillId="4" borderId="10" xfId="1" applyNumberFormat="1" applyFont="1" applyFill="1" applyBorder="1" applyAlignment="1">
      <alignment horizontal="center" vertical="center"/>
    </xf>
    <xf numFmtId="172" fontId="14" fillId="4" borderId="11" xfId="1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673D9"/>
      <color rgb="FF3F87DB"/>
      <color rgb="FFD9E5F7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FORECAST_MODEL!$D$4:$L$4</c:f>
              <c:numCache>
                <c:formatCode>"FY"0"A"</c:formatCode>
                <c:ptCount val="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 formatCode="&quot;FY&quot;0&quot;F&quot;">
                  <c:v>26</c:v>
                </c:pt>
                <c:pt idx="7" formatCode="&quot;FY&quot;0&quot;F&quot;">
                  <c:v>27</c:v>
                </c:pt>
                <c:pt idx="8" formatCode="&quot;FY&quot;0&quot;F&quot;">
                  <c:v>28</c:v>
                </c:pt>
              </c:numCache>
            </c:numRef>
          </c:cat>
          <c:val>
            <c:numRef>
              <c:f>FORECAST_MODEL!$D$6:$L$6</c:f>
              <c:numCache>
                <c:formatCode>#,##0</c:formatCode>
                <c:ptCount val="9"/>
                <c:pt idx="0">
                  <c:v>70372</c:v>
                </c:pt>
                <c:pt idx="1">
                  <c:v>79474</c:v>
                </c:pt>
                <c:pt idx="2">
                  <c:v>86392</c:v>
                </c:pt>
                <c:pt idx="3">
                  <c:v>91471</c:v>
                </c:pt>
                <c:pt idx="4">
                  <c:v>91854</c:v>
                </c:pt>
                <c:pt idx="5">
                  <c:v>93925</c:v>
                </c:pt>
                <c:pt idx="6">
                  <c:v>98151.625</c:v>
                </c:pt>
                <c:pt idx="7">
                  <c:v>102568.448125</c:v>
                </c:pt>
                <c:pt idx="8">
                  <c:v>107184.02829062499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3-9B48-B55F-D52024EB9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66496"/>
        <c:axId val="2101462335"/>
      </c:lineChart>
      <c:catAx>
        <c:axId val="31266496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62335"/>
        <c:crosses val="autoZero"/>
        <c:auto val="1"/>
        <c:lblAlgn val="ctr"/>
        <c:lblOffset val="100"/>
        <c:noMultiLvlLbl val="0"/>
      </c:catAx>
      <c:valAx>
        <c:axId val="21014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GROSS MARGIN </a:t>
            </a:r>
            <a:r>
              <a:rPr lang="en-US" b="1" baseline="0"/>
              <a:t>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FORECAST_MODEL!$D$4:$L$4</c:f>
              <c:numCache>
                <c:formatCode>"FY"0"A"</c:formatCode>
                <c:ptCount val="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 formatCode="&quot;FY&quot;0&quot;F&quot;">
                  <c:v>26</c:v>
                </c:pt>
                <c:pt idx="7" formatCode="&quot;FY&quot;0&quot;F&quot;">
                  <c:v>27</c:v>
                </c:pt>
                <c:pt idx="8" formatCode="&quot;FY&quot;0&quot;F&quot;">
                  <c:v>28</c:v>
                </c:pt>
              </c:numCache>
            </c:numRef>
          </c:cat>
          <c:val>
            <c:numRef>
              <c:f>FORECAST_MODEL!$D$10:$L$10</c:f>
              <c:numCache>
                <c:formatCode>0.0%</c:formatCode>
                <c:ptCount val="9"/>
                <c:pt idx="0">
                  <c:v>0.54815835843801508</c:v>
                </c:pt>
                <c:pt idx="1">
                  <c:v>0.53349523114477693</c:v>
                </c:pt>
                <c:pt idx="2">
                  <c:v>0.5303268821187147</c:v>
                </c:pt>
                <c:pt idx="3">
                  <c:v>0.54213903860239854</c:v>
                </c:pt>
                <c:pt idx="4">
                  <c:v>0.54553966076599825</c:v>
                </c:pt>
                <c:pt idx="5">
                  <c:v>0.54148522757519302</c:v>
                </c:pt>
                <c:pt idx="6">
                  <c:v>0.54249999999999998</c:v>
                </c:pt>
                <c:pt idx="7">
                  <c:v>0.54499999999999993</c:v>
                </c:pt>
                <c:pt idx="8">
                  <c:v>0.54749999999999999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6-3444-85E5-708B1354A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033535"/>
        <c:axId val="36118400"/>
      </c:lineChart>
      <c:catAx>
        <c:axId val="2093033535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8400"/>
        <c:crosses val="autoZero"/>
        <c:auto val="1"/>
        <c:lblAlgn val="ctr"/>
        <c:lblOffset val="100"/>
        <c:noMultiLvlLbl val="0"/>
      </c:catAx>
      <c:valAx>
        <c:axId val="361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3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INCOME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FORECAST_MODEL!$D$4:$L$4</c:f>
              <c:numCache>
                <c:formatCode>"FY"0"A"</c:formatCode>
                <c:ptCount val="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 formatCode="&quot;FY&quot;0&quot;F&quot;">
                  <c:v>26</c:v>
                </c:pt>
                <c:pt idx="7" formatCode="&quot;FY&quot;0&quot;F&quot;">
                  <c:v>27</c:v>
                </c:pt>
                <c:pt idx="8" formatCode="&quot;FY&quot;0&quot;F&quot;">
                  <c:v>28</c:v>
                </c:pt>
              </c:numCache>
            </c:numRef>
          </c:cat>
          <c:val>
            <c:numRef>
              <c:f>FORECAST_MODEL!$D$13:$L$13</c:f>
              <c:numCache>
                <c:formatCode>#,##0</c:formatCode>
                <c:ptCount val="9"/>
                <c:pt idx="0">
                  <c:v>10080</c:v>
                </c:pt>
                <c:pt idx="1">
                  <c:v>11162</c:v>
                </c:pt>
                <c:pt idx="2">
                  <c:v>11512</c:v>
                </c:pt>
                <c:pt idx="3">
                  <c:v>11986</c:v>
                </c:pt>
                <c:pt idx="4">
                  <c:v>12887</c:v>
                </c:pt>
                <c:pt idx="5">
                  <c:v>11498</c:v>
                </c:pt>
                <c:pt idx="6">
                  <c:v>13986.606562499997</c:v>
                </c:pt>
                <c:pt idx="7">
                  <c:v>15128.846098437498</c:v>
                </c:pt>
                <c:pt idx="8">
                  <c:v>16345.564314320305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6-E146-ACC7-7994A1E94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3286783"/>
        <c:axId val="2103282751"/>
      </c:barChart>
      <c:catAx>
        <c:axId val="2103286783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282751"/>
        <c:crosses val="autoZero"/>
        <c:auto val="1"/>
        <c:lblAlgn val="ctr"/>
        <c:lblOffset val="100"/>
        <c:noMultiLvlLbl val="0"/>
      </c:catAx>
      <c:valAx>
        <c:axId val="21032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28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GROSS</a:t>
            </a:r>
            <a:r>
              <a:rPr lang="en-US" b="1" baseline="0"/>
              <a:t> MARGIN &amp; OPERATING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KPI_DASHBOARD!$AB$4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KPI_DASHBOARD!$AA$5:$AA$13</c:f>
              <c:numCache>
                <c:formatCode>"FY"0"A"</c:formatCode>
                <c:ptCount val="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 formatCode="&quot;FY&quot;0&quot;F&quot;">
                  <c:v>26</c:v>
                </c:pt>
                <c:pt idx="7" formatCode="&quot;FY&quot;0&quot;F&quot;">
                  <c:v>27</c:v>
                </c:pt>
                <c:pt idx="8" formatCode="&quot;FY&quot;0&quot;F&quot;">
                  <c:v>28</c:v>
                </c:pt>
              </c:numCache>
            </c:numRef>
          </c:cat>
          <c:val>
            <c:numRef>
              <c:f>KPI_DASHBOARD!$AB$5:$AB$13</c:f>
              <c:numCache>
                <c:formatCode>0.0%</c:formatCode>
                <c:ptCount val="9"/>
                <c:pt idx="0">
                  <c:v>0.54815835843801508</c:v>
                </c:pt>
                <c:pt idx="1">
                  <c:v>0.53349523114477693</c:v>
                </c:pt>
                <c:pt idx="2">
                  <c:v>0.5303268821187147</c:v>
                </c:pt>
                <c:pt idx="3">
                  <c:v>0.54213903860239854</c:v>
                </c:pt>
                <c:pt idx="4">
                  <c:v>0.54553966076599825</c:v>
                </c:pt>
                <c:pt idx="5">
                  <c:v>0.54148522757519302</c:v>
                </c:pt>
                <c:pt idx="6">
                  <c:v>0.54249999999999998</c:v>
                </c:pt>
                <c:pt idx="7">
                  <c:v>0.54499999999999993</c:v>
                </c:pt>
                <c:pt idx="8">
                  <c:v>0.54749999999999999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1C-E042-94B7-2C918E58748F}"/>
            </c:ext>
          </c:extLst>
        </c:ser>
        <c:ser>
          <c:idx val="2"/>
          <c:order val="1"/>
          <c:tx>
            <c:strRef>
              <c:f>KPI_DASHBOARD!$AC$4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KPI_DASHBOARD!$AA$5:$AA$13</c:f>
              <c:numCache>
                <c:formatCode>"FY"0"A"</c:formatCode>
                <c:ptCount val="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 formatCode="&quot;FY&quot;0&quot;F&quot;">
                  <c:v>26</c:v>
                </c:pt>
                <c:pt idx="7" formatCode="&quot;FY&quot;0&quot;F&quot;">
                  <c:v>27</c:v>
                </c:pt>
                <c:pt idx="8" formatCode="&quot;FY&quot;0&quot;F&quot;">
                  <c:v>28</c:v>
                </c:pt>
              </c:numCache>
            </c:numRef>
          </c:cat>
          <c:val>
            <c:numRef>
              <c:f>KPI_DASHBOARD!$AC$5:$AC$13</c:f>
              <c:numCache>
                <c:formatCode>0.0%</c:formatCode>
                <c:ptCount val="9"/>
                <c:pt idx="0">
                  <c:v>0.14319999999999999</c:v>
                </c:pt>
                <c:pt idx="1">
                  <c:v>0.14044999999999999</c:v>
                </c:pt>
                <c:pt idx="2">
                  <c:v>0.13325000000000001</c:v>
                </c:pt>
                <c:pt idx="3">
                  <c:v>0.13103999999999999</c:v>
                </c:pt>
                <c:pt idx="4">
                  <c:v>0.14030000000000001</c:v>
                </c:pt>
                <c:pt idx="5">
                  <c:v>0.12241682193239287</c:v>
                </c:pt>
                <c:pt idx="6">
                  <c:v>0.14249999999999996</c:v>
                </c:pt>
                <c:pt idx="7">
                  <c:v>0.14749999999999999</c:v>
                </c:pt>
                <c:pt idx="8">
                  <c:v>0.15249999999999994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1C-E042-94B7-2C918E58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232063"/>
        <c:axId val="2101245503"/>
      </c:lineChart>
      <c:catAx>
        <c:axId val="2101232063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503"/>
        <c:crosses val="autoZero"/>
        <c:auto val="1"/>
        <c:lblAlgn val="ctr"/>
        <c:lblOffset val="100"/>
        <c:noMultiLvlLbl val="0"/>
      </c:catAx>
      <c:valAx>
        <c:axId val="2101245503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2063"/>
        <c:crossesAt val="1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FREE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FORECAST_MODEL!$D$4:$L$4</c:f>
              <c:numCache>
                <c:formatCode>"FY"0"A"</c:formatCode>
                <c:ptCount val="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 formatCode="&quot;FY&quot;0&quot;F&quot;">
                  <c:v>26</c:v>
                </c:pt>
                <c:pt idx="7" formatCode="&quot;FY&quot;0&quot;F&quot;">
                  <c:v>27</c:v>
                </c:pt>
                <c:pt idx="8" formatCode="&quot;FY&quot;0&quot;F&quot;">
                  <c:v>28</c:v>
                </c:pt>
              </c:numCache>
            </c:numRef>
          </c:cat>
          <c:val>
            <c:numRef>
              <c:f>FORECAST_MODEL!$D$22:$L$22</c:f>
              <c:numCache>
                <c:formatCode>#,##0</c:formatCode>
                <c:ptCount val="9"/>
                <c:pt idx="0">
                  <c:v>6373</c:v>
                </c:pt>
                <c:pt idx="1">
                  <c:v>6991</c:v>
                </c:pt>
                <c:pt idx="2">
                  <c:v>5604</c:v>
                </c:pt>
                <c:pt idx="3">
                  <c:v>7904</c:v>
                </c:pt>
                <c:pt idx="4">
                  <c:v>7189</c:v>
                </c:pt>
                <c:pt idx="5">
                  <c:v>7672</c:v>
                </c:pt>
                <c:pt idx="6">
                  <c:v>7061.9122495708698</c:v>
                </c:pt>
                <c:pt idx="7">
                  <c:v>7379.6983008015586</c:v>
                </c:pt>
                <c:pt idx="8">
                  <c:v>7711.7847243376282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D-AD48-9FDF-315C45AC2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455871"/>
        <c:axId val="2060462143"/>
      </c:lineChart>
      <c:catAx>
        <c:axId val="2060455871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62143"/>
        <c:crosses val="autoZero"/>
        <c:auto val="1"/>
        <c:lblAlgn val="ctr"/>
        <c:lblOffset val="100"/>
        <c:noMultiLvlLbl val="0"/>
      </c:catAx>
      <c:valAx>
        <c:axId val="206046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5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271780</xdr:colOff>
      <xdr:row>20</xdr:row>
      <xdr:rowOff>1975</xdr:rowOff>
    </xdr:from>
    <xdr:to>
      <xdr:col>5</xdr:col>
      <xdr:colOff>31891</xdr:colOff>
      <xdr:row>28</xdr:row>
      <xdr:rowOff>148731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04008-BFC1-EA6C-C804-094D66FA0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1109980</xdr:colOff>
      <xdr:row>20</xdr:row>
      <xdr:rowOff>10160</xdr:rowOff>
    </xdr:from>
    <xdr:to>
      <xdr:col>10</xdr:col>
      <xdr:colOff>30480</xdr:colOff>
      <xdr:row>28</xdr:row>
      <xdr:rowOff>213360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554951-6505-6943-BDA2-5B6DAE4F4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17780</xdr:colOff>
      <xdr:row>19</xdr:row>
      <xdr:rowOff>314960</xdr:rowOff>
    </xdr:from>
    <xdr:to>
      <xdr:col>15</xdr:col>
      <xdr:colOff>68580</xdr:colOff>
      <xdr:row>28</xdr:row>
      <xdr:rowOff>200660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945B74-4310-C14F-DD28-DFAE7526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283360</xdr:colOff>
      <xdr:row>30</xdr:row>
      <xdr:rowOff>14561</xdr:rowOff>
    </xdr:from>
    <xdr:to>
      <xdr:col>5</xdr:col>
      <xdr:colOff>60086</xdr:colOff>
      <xdr:row>39</xdr:row>
      <xdr:rowOff>241659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13385A-773B-92C3-EBAC-89EC72D98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1133058</xdr:colOff>
      <xdr:row>30</xdr:row>
      <xdr:rowOff>14256</xdr:rowOff>
    </xdr:from>
    <xdr:to>
      <xdr:col>10</xdr:col>
      <xdr:colOff>37854</xdr:colOff>
      <xdr:row>40</xdr:row>
      <xdr:rowOff>26274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1ADD2349-870B-EAA5-EDDD-E1F8826B0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0252-87B7-D446-8D49-477C1F39B131}">
  <sheetPr>
    <tabColor rgb="FF0070C0"/>
  </sheetPr>
  <dimension ref="B1:Y40"/>
  <sheetViews>
    <sheetView showGridLines="0" tabSelected="1" topLeftCell="A3" zoomScaleNormal="100" workbookViewId="0">
      <selection activeCell="Q14" sqref="Q14"/>
    </sheetView>
  </sheetViews>
  <sheetFormatPr baseColWidth="10" defaultRowHeight="16"/>
  <cols>
    <col min="1" max="1" width="3.83203125" style="1" customWidth="1"/>
    <col min="2" max="16384" width="10.83203125" style="1"/>
  </cols>
  <sheetData>
    <row r="1" spans="2:25" ht="45" customHeight="1"/>
    <row r="2" spans="2:25" ht="45" customHeight="1">
      <c r="B2"/>
      <c r="C2"/>
      <c r="D2"/>
      <c r="E2"/>
      <c r="F2"/>
      <c r="G2"/>
      <c r="H2" s="65" t="s">
        <v>157</v>
      </c>
      <c r="I2" s="65"/>
      <c r="J2" s="65"/>
      <c r="K2" s="65"/>
      <c r="L2" s="65"/>
      <c r="M2" s="65"/>
      <c r="N2"/>
      <c r="O2"/>
      <c r="P2"/>
      <c r="Q2"/>
      <c r="R2"/>
      <c r="S2"/>
      <c r="T2"/>
      <c r="U2"/>
      <c r="V2"/>
      <c r="W2"/>
      <c r="X2"/>
      <c r="Y2"/>
    </row>
    <row r="3" spans="2:25" ht="45" customHeight="1" thickBot="1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2:25" ht="45" customHeight="1" thickTop="1">
      <c r="B4"/>
      <c r="C4" s="59"/>
      <c r="D4" s="59"/>
      <c r="E4" s="59"/>
      <c r="F4" s="66" t="s">
        <v>158</v>
      </c>
      <c r="G4" s="66"/>
      <c r="H4" s="66"/>
      <c r="I4" s="66"/>
      <c r="J4" s="66"/>
      <c r="K4" s="66"/>
      <c r="L4" s="66"/>
      <c r="M4" s="66"/>
      <c r="N4" s="66"/>
      <c r="O4" s="66"/>
      <c r="P4" s="59"/>
      <c r="Q4" s="59"/>
      <c r="R4" s="59"/>
      <c r="S4" s="59"/>
      <c r="T4"/>
      <c r="U4"/>
      <c r="V4"/>
      <c r="W4"/>
      <c r="X4"/>
      <c r="Y4"/>
    </row>
    <row r="5" spans="2:25" ht="45" customHeight="1" thickBot="1">
      <c r="B5"/>
      <c r="C5" s="60"/>
      <c r="D5" s="60"/>
      <c r="E5" s="60"/>
      <c r="F5" s="60"/>
      <c r="G5" s="60"/>
      <c r="H5" s="67" t="s">
        <v>159</v>
      </c>
      <c r="I5" s="67"/>
      <c r="J5" s="67"/>
      <c r="K5" s="67"/>
      <c r="L5" s="67"/>
      <c r="M5" s="67"/>
      <c r="N5" s="60"/>
      <c r="O5" s="60"/>
      <c r="P5" s="60"/>
      <c r="Q5" s="60"/>
      <c r="R5" s="60"/>
      <c r="S5" s="60"/>
      <c r="T5"/>
      <c r="U5"/>
      <c r="V5"/>
      <c r="W5"/>
      <c r="X5"/>
      <c r="Y5"/>
    </row>
    <row r="6" spans="2:25" ht="45" customHeight="1" thickTop="1">
      <c r="B6"/>
      <c r="C6"/>
      <c r="E6" s="45"/>
      <c r="P6"/>
      <c r="Q6"/>
      <c r="R6"/>
      <c r="S6"/>
      <c r="T6"/>
      <c r="U6"/>
      <c r="V6"/>
      <c r="W6"/>
      <c r="X6"/>
      <c r="Y6"/>
    </row>
    <row r="7" spans="2:25" ht="45" customHeight="1">
      <c r="B7"/>
      <c r="C7"/>
      <c r="D7"/>
      <c r="E7"/>
      <c r="F7"/>
      <c r="G7"/>
      <c r="I7" s="63" t="s">
        <v>160</v>
      </c>
      <c r="J7" s="64"/>
      <c r="K7" s="64"/>
      <c r="L7" s="64"/>
      <c r="N7"/>
      <c r="O7"/>
      <c r="P7"/>
      <c r="Q7"/>
      <c r="R7"/>
      <c r="S7"/>
      <c r="T7"/>
      <c r="U7"/>
      <c r="V7"/>
      <c r="W7"/>
      <c r="X7"/>
      <c r="Y7"/>
    </row>
    <row r="8" spans="2:25" ht="45" customHeight="1">
      <c r="B8"/>
      <c r="C8"/>
      <c r="D8"/>
      <c r="E8"/>
      <c r="F8"/>
      <c r="G8"/>
      <c r="N8"/>
      <c r="O8"/>
      <c r="P8"/>
      <c r="Q8"/>
      <c r="R8"/>
      <c r="S8"/>
      <c r="T8"/>
      <c r="U8"/>
      <c r="V8"/>
      <c r="W8"/>
      <c r="X8"/>
      <c r="Y8"/>
    </row>
    <row r="9" spans="2:25" ht="45" customHeight="1">
      <c r="B9"/>
      <c r="C9"/>
      <c r="D9"/>
      <c r="E9"/>
      <c r="F9"/>
      <c r="G9"/>
      <c r="H9"/>
      <c r="I9" s="63" t="s">
        <v>161</v>
      </c>
      <c r="J9" s="64"/>
      <c r="K9" s="64"/>
      <c r="L9" s="64"/>
      <c r="M9"/>
      <c r="N9"/>
      <c r="O9"/>
      <c r="P9"/>
      <c r="Q9"/>
      <c r="R9"/>
      <c r="S9"/>
      <c r="T9"/>
      <c r="U9"/>
      <c r="V9"/>
      <c r="W9"/>
      <c r="X9"/>
      <c r="Y9"/>
    </row>
    <row r="10" spans="2:25" ht="45" customHeight="1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2:25" ht="30" customHeight="1">
      <c r="B11"/>
      <c r="C11" s="61" t="s">
        <v>57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2:25" ht="30" customHeight="1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30" customHeight="1">
      <c r="B13"/>
      <c r="C13" s="62" t="s">
        <v>162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30" customHeight="1">
      <c r="B14"/>
      <c r="C14" s="62" t="s">
        <v>59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2:25" ht="30" customHeight="1">
      <c r="B15"/>
      <c r="C15" s="62" t="s">
        <v>163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2:25" ht="30" customHeight="1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2:25" ht="30" customHeight="1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2:25" ht="30" customHeight="1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30" customHeight="1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2:25" ht="30" customHeight="1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2:25" ht="30" customHeight="1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2:25" ht="30" customHeight="1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 ht="30" customHeight="1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2:25" ht="30" customHeight="1">
      <c r="B24"/>
      <c r="C24" t="s">
        <v>57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2:25" ht="30" customHeight="1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2:25" ht="30" customHeight="1">
      <c r="B26"/>
      <c r="C26" t="s">
        <v>58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2:25" ht="30" customHeight="1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2:25" ht="30" customHeight="1">
      <c r="B28"/>
      <c r="C28" t="s">
        <v>59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2:25" ht="30" customHeight="1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2:25" ht="30" customHeight="1">
      <c r="B30"/>
      <c r="C30" t="s">
        <v>60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2:25" ht="30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2:25" ht="30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2:25" ht="30" customHeight="1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2:25" ht="30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2:25" ht="17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2:25" ht="17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2:25" ht="17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2:25" ht="17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2:25" ht="17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2:25" ht="17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mergeCells count="5">
    <mergeCell ref="I9:L9"/>
    <mergeCell ref="H2:M2"/>
    <mergeCell ref="F4:O4"/>
    <mergeCell ref="H5:M5"/>
    <mergeCell ref="I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7745-B939-5943-8744-98A4FFBB18AD}">
  <sheetPr>
    <tabColor rgb="FF0070C0"/>
  </sheetPr>
  <dimension ref="B2:P23"/>
  <sheetViews>
    <sheetView showGridLines="0" zoomScale="120" zoomScaleNormal="12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6"/>
  <cols>
    <col min="1" max="1" width="3.83203125" style="1" customWidth="1"/>
    <col min="2" max="2" width="23.5" style="1" bestFit="1" customWidth="1"/>
    <col min="3" max="7" width="11.5" style="1" bestFit="1" customWidth="1"/>
    <col min="8" max="16384" width="10.83203125" style="1"/>
  </cols>
  <sheetData>
    <row r="2" spans="2:16" ht="21">
      <c r="B2" s="23" t="s">
        <v>0</v>
      </c>
      <c r="C2" s="16"/>
      <c r="D2" s="16"/>
      <c r="E2" s="16"/>
      <c r="F2" s="16"/>
      <c r="G2" s="16"/>
      <c r="H2" s="16"/>
      <c r="I2" s="16"/>
    </row>
    <row r="4" spans="2:16" ht="17" thickBot="1">
      <c r="D4" s="25">
        <v>20</v>
      </c>
      <c r="E4" s="25">
        <v>21</v>
      </c>
      <c r="F4" s="25">
        <v>22</v>
      </c>
      <c r="G4" s="25">
        <v>23</v>
      </c>
      <c r="H4" s="25">
        <v>24</v>
      </c>
      <c r="I4" s="25">
        <v>25</v>
      </c>
      <c r="K4" s="11"/>
    </row>
    <row r="5" spans="2:16" ht="17" thickTop="1"/>
    <row r="6" spans="2:16">
      <c r="B6" s="1" t="s">
        <v>1</v>
      </c>
      <c r="D6" s="2">
        <v>70372</v>
      </c>
      <c r="E6" s="2">
        <v>79474</v>
      </c>
      <c r="F6" s="2">
        <v>86392</v>
      </c>
      <c r="G6" s="2">
        <v>91471</v>
      </c>
      <c r="H6" s="2">
        <v>91854</v>
      </c>
      <c r="I6" s="2">
        <v>93925</v>
      </c>
    </row>
    <row r="7" spans="2:16">
      <c r="B7" s="1" t="s">
        <v>2</v>
      </c>
      <c r="D7" s="2">
        <v>31797</v>
      </c>
      <c r="E7" s="2">
        <v>37075</v>
      </c>
      <c r="F7" s="2">
        <v>40576</v>
      </c>
      <c r="G7" s="2">
        <v>41881</v>
      </c>
      <c r="H7" s="2">
        <v>41744</v>
      </c>
      <c r="I7" s="2">
        <v>43066</v>
      </c>
    </row>
    <row r="8" spans="2:16">
      <c r="B8" s="1" t="s">
        <v>11</v>
      </c>
      <c r="D8" s="3">
        <v>38575</v>
      </c>
      <c r="E8" s="2">
        <v>42399</v>
      </c>
      <c r="F8" s="2">
        <v>45816</v>
      </c>
      <c r="G8" s="2">
        <v>49590</v>
      </c>
      <c r="H8" s="2">
        <v>50110</v>
      </c>
      <c r="I8" s="2">
        <v>50859</v>
      </c>
    </row>
    <row r="9" spans="2:16">
      <c r="B9" s="1" t="s">
        <v>3</v>
      </c>
      <c r="D9" s="2">
        <v>28495</v>
      </c>
      <c r="E9" s="2">
        <v>31237</v>
      </c>
      <c r="F9" s="2">
        <v>34459</v>
      </c>
      <c r="G9" s="2">
        <v>36677</v>
      </c>
      <c r="H9" s="2">
        <v>37190</v>
      </c>
      <c r="I9" s="2">
        <v>37368</v>
      </c>
      <c r="K9" s="28"/>
      <c r="L9" s="28"/>
      <c r="M9" s="28"/>
      <c r="N9" s="28"/>
      <c r="O9" s="28"/>
      <c r="P9" s="28"/>
    </row>
    <row r="10" spans="2:16">
      <c r="B10" s="1" t="s">
        <v>4</v>
      </c>
      <c r="D10" s="2">
        <v>10080</v>
      </c>
      <c r="E10" s="2">
        <v>11162</v>
      </c>
      <c r="F10" s="2">
        <v>11512</v>
      </c>
      <c r="G10" s="2">
        <v>11986</v>
      </c>
      <c r="H10" s="2">
        <v>12887</v>
      </c>
      <c r="I10" s="2">
        <v>11498</v>
      </c>
    </row>
    <row r="11" spans="2:16">
      <c r="B11" s="1" t="s">
        <v>5</v>
      </c>
      <c r="D11" s="11">
        <v>0.14319999999999999</v>
      </c>
      <c r="E11" s="11">
        <v>0.14044999999999999</v>
      </c>
      <c r="F11" s="11">
        <v>0.13325000000000001</v>
      </c>
      <c r="G11" s="11">
        <v>0.13103999999999999</v>
      </c>
      <c r="H11" s="11">
        <v>0.14030000000000001</v>
      </c>
      <c r="I11" s="11">
        <v>0.12242</v>
      </c>
    </row>
    <row r="12" spans="2:16">
      <c r="B12" s="1" t="s">
        <v>6</v>
      </c>
      <c r="D12" s="2">
        <v>7120</v>
      </c>
      <c r="E12" s="2">
        <v>7618</v>
      </c>
      <c r="F12" s="2">
        <v>8910</v>
      </c>
      <c r="G12" s="2">
        <v>9074</v>
      </c>
      <c r="H12" s="2">
        <v>9578</v>
      </c>
      <c r="I12" s="2">
        <v>8240</v>
      </c>
    </row>
    <row r="13" spans="2:16">
      <c r="B13" s="1" t="s">
        <v>7</v>
      </c>
      <c r="D13" s="5">
        <v>5.12</v>
      </c>
      <c r="E13" s="5">
        <v>5.49</v>
      </c>
      <c r="F13" s="5">
        <v>6.42</v>
      </c>
      <c r="G13" s="5">
        <v>6.56</v>
      </c>
      <c r="H13" s="5">
        <v>6.95</v>
      </c>
      <c r="I13" s="5">
        <v>6</v>
      </c>
    </row>
    <row r="14" spans="2:16">
      <c r="B14" s="1" t="s">
        <v>73</v>
      </c>
      <c r="D14" s="2">
        <v>1392</v>
      </c>
      <c r="E14" s="2">
        <v>1389</v>
      </c>
      <c r="F14" s="2">
        <v>1387</v>
      </c>
      <c r="G14" s="2">
        <v>1383</v>
      </c>
      <c r="H14" s="2">
        <v>1378</v>
      </c>
      <c r="I14" s="2">
        <v>1373</v>
      </c>
    </row>
    <row r="15" spans="2:16">
      <c r="B15" s="1" t="s">
        <v>8</v>
      </c>
      <c r="D15" s="2">
        <v>10613</v>
      </c>
      <c r="E15" s="2">
        <v>11616</v>
      </c>
      <c r="F15" s="2">
        <v>10811</v>
      </c>
      <c r="G15" s="2">
        <v>13422</v>
      </c>
      <c r="H15" s="2">
        <v>12507</v>
      </c>
      <c r="I15" s="2">
        <v>12087</v>
      </c>
    </row>
    <row r="16" spans="2:16">
      <c r="B16" s="1" t="s">
        <v>9</v>
      </c>
      <c r="D16" s="2">
        <v>4240</v>
      </c>
      <c r="E16" s="2">
        <v>4625</v>
      </c>
      <c r="F16" s="2">
        <v>5207</v>
      </c>
      <c r="G16" s="2">
        <v>5518</v>
      </c>
      <c r="H16" s="2">
        <v>5318</v>
      </c>
      <c r="I16" s="2">
        <v>4415</v>
      </c>
    </row>
    <row r="17" spans="2:11">
      <c r="B17" s="1" t="s">
        <v>10</v>
      </c>
      <c r="D17" s="2">
        <v>6373</v>
      </c>
      <c r="E17" s="2">
        <v>6991</v>
      </c>
      <c r="F17" s="2">
        <v>5604</v>
      </c>
      <c r="G17" s="2">
        <v>7904</v>
      </c>
      <c r="H17" s="2">
        <v>7189</v>
      </c>
      <c r="I17" s="2">
        <v>7672</v>
      </c>
    </row>
    <row r="18" spans="2:11">
      <c r="B18" s="1" t="s">
        <v>72</v>
      </c>
      <c r="D18" s="18">
        <v>20.9</v>
      </c>
      <c r="E18" s="18">
        <v>21.8</v>
      </c>
      <c r="F18" s="18">
        <v>16.100000000000001</v>
      </c>
      <c r="G18" s="18">
        <v>19.8</v>
      </c>
      <c r="H18" s="18">
        <v>19.399999999999999</v>
      </c>
      <c r="I18" s="18">
        <v>19</v>
      </c>
    </row>
    <row r="20" spans="2:11">
      <c r="K20" s="12"/>
    </row>
    <row r="21" spans="2:11">
      <c r="B21" s="6" t="s">
        <v>152</v>
      </c>
      <c r="C21" s="6"/>
      <c r="D21" s="11">
        <f t="shared" ref="D21:I21" si="0">D10/D6</f>
        <v>0.14323878815437957</v>
      </c>
      <c r="E21" s="11">
        <f t="shared" si="0"/>
        <v>0.14044844854921107</v>
      </c>
      <c r="F21" s="11">
        <f t="shared" si="0"/>
        <v>0.13325307898879526</v>
      </c>
      <c r="G21" s="11">
        <f t="shared" si="0"/>
        <v>0.13103606607558679</v>
      </c>
      <c r="H21" s="11">
        <f t="shared" si="0"/>
        <v>0.14029873494894071</v>
      </c>
      <c r="I21" s="11">
        <f t="shared" si="0"/>
        <v>0.12241682193239287</v>
      </c>
      <c r="K21" s="12"/>
    </row>
    <row r="22" spans="2:11">
      <c r="B22" s="1" t="s">
        <v>153</v>
      </c>
      <c r="D22" s="11">
        <f t="shared" ref="D22:I22" si="1">D7/D6</f>
        <v>0.45184164156198486</v>
      </c>
      <c r="E22" s="11">
        <f t="shared" si="1"/>
        <v>0.46650476885522307</v>
      </c>
      <c r="F22" s="11">
        <f t="shared" si="1"/>
        <v>0.4696731178812853</v>
      </c>
      <c r="G22" s="11">
        <f t="shared" si="1"/>
        <v>0.45786096139760141</v>
      </c>
      <c r="H22" s="11">
        <f t="shared" si="1"/>
        <v>0.45446033923400181</v>
      </c>
      <c r="I22" s="11">
        <f t="shared" si="1"/>
        <v>0.45851477242480704</v>
      </c>
    </row>
    <row r="23" spans="2:11">
      <c r="B23" s="1" t="s">
        <v>154</v>
      </c>
      <c r="D23" s="11">
        <f t="shared" ref="D23:I23" si="2">D9/D6</f>
        <v>0.40491957028363551</v>
      </c>
      <c r="E23" s="11">
        <f t="shared" si="2"/>
        <v>0.39304678259556586</v>
      </c>
      <c r="F23" s="11">
        <f t="shared" si="2"/>
        <v>0.39886795073617926</v>
      </c>
      <c r="G23" s="11">
        <f t="shared" si="2"/>
        <v>0.40096861300302827</v>
      </c>
      <c r="H23" s="11">
        <f t="shared" si="2"/>
        <v>0.40488166002569292</v>
      </c>
      <c r="I23" s="11">
        <f t="shared" si="2"/>
        <v>0.39784934788394993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51C0-98DB-4E4D-AAFF-A54AE71B7AC9}">
  <sheetPr>
    <tabColor rgb="FF0070C0"/>
  </sheetPr>
  <dimension ref="B2:J13"/>
  <sheetViews>
    <sheetView showGridLines="0" zoomScale="154" zoomScaleNormal="154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6"/>
  <cols>
    <col min="1" max="1" width="3.83203125" style="1" customWidth="1"/>
    <col min="2" max="2" width="21.6640625" style="1" bestFit="1" customWidth="1"/>
    <col min="3" max="16384" width="10.83203125" style="1"/>
  </cols>
  <sheetData>
    <row r="2" spans="2:10" ht="21">
      <c r="B2" s="23" t="s">
        <v>12</v>
      </c>
      <c r="C2" s="16"/>
      <c r="D2" s="16"/>
      <c r="E2" s="16"/>
      <c r="F2" s="16"/>
      <c r="G2" s="16"/>
      <c r="H2" s="16"/>
      <c r="I2" s="16"/>
    </row>
    <row r="4" spans="2:10" ht="17" thickBot="1">
      <c r="D4" s="55">
        <v>2020</v>
      </c>
      <c r="E4" s="55">
        <v>2021</v>
      </c>
      <c r="F4" s="55">
        <v>2022</v>
      </c>
      <c r="G4" s="55">
        <v>2023</v>
      </c>
      <c r="H4" s="55">
        <v>2024</v>
      </c>
      <c r="I4" s="55">
        <v>2025</v>
      </c>
    </row>
    <row r="5" spans="2:10" ht="17" thickTop="1">
      <c r="J5" s="56" t="s">
        <v>155</v>
      </c>
    </row>
    <row r="6" spans="2:10">
      <c r="B6" s="1" t="s">
        <v>13</v>
      </c>
      <c r="E6" s="7">
        <f>(RAW_FINANCIALS!E6/RAW_FINANCIALS!D6)-1</f>
        <v>0.12934121525606779</v>
      </c>
      <c r="F6" s="7">
        <f>(RAW_FINANCIALS!F6/RAW_FINANCIALS!E6)-1</f>
        <v>8.7047336235750006E-2</v>
      </c>
      <c r="G6" s="7">
        <f>(RAW_FINANCIALS!G6/RAW_FINANCIALS!F6)-1</f>
        <v>5.879016575608853E-2</v>
      </c>
      <c r="H6" s="7">
        <f>(RAW_FINANCIALS!H6/RAW_FINANCIALS!G6)-1</f>
        <v>4.1871194148965785E-3</v>
      </c>
      <c r="I6" s="7">
        <f>(RAW_FINANCIALS!I6/RAW_FINANCIALS!H6)-1</f>
        <v>2.2546650118666633E-2</v>
      </c>
      <c r="J6" s="10">
        <f>AVERAGE(E6:I6)</f>
        <v>6.0382497356293904E-2</v>
      </c>
    </row>
    <row r="7" spans="2:10">
      <c r="B7" s="1" t="s">
        <v>14</v>
      </c>
      <c r="E7" s="7">
        <f>RAW_FINANCIALS!E8/RAW_FINANCIALS!E6</f>
        <v>0.53349523114477693</v>
      </c>
      <c r="F7" s="7">
        <f>RAW_FINANCIALS!F8/RAW_FINANCIALS!F6</f>
        <v>0.5303268821187147</v>
      </c>
      <c r="G7" s="7">
        <f>RAW_FINANCIALS!G8/RAW_FINANCIALS!G6</f>
        <v>0.54213903860239854</v>
      </c>
      <c r="H7" s="7">
        <f>RAW_FINANCIALS!H8/RAW_FINANCIALS!H6</f>
        <v>0.54553966076599825</v>
      </c>
      <c r="I7" s="7">
        <f>RAW_FINANCIALS!I8/RAW_FINANCIALS!I6</f>
        <v>0.54148522757519302</v>
      </c>
      <c r="J7" s="10">
        <f>AVERAGE(E7:I7)</f>
        <v>0.53859720804141631</v>
      </c>
    </row>
    <row r="8" spans="2:10">
      <c r="B8" s="1" t="s">
        <v>15</v>
      </c>
      <c r="E8" s="7">
        <f>RAW_FINANCIALS!E10/RAW_FINANCIALS!E6</f>
        <v>0.14044844854921107</v>
      </c>
      <c r="F8" s="7">
        <f>RAW_FINANCIALS!F10/RAW_FINANCIALS!F6</f>
        <v>0.13325307898879526</v>
      </c>
      <c r="G8" s="7">
        <f>RAW_FINANCIALS!G10/RAW_FINANCIALS!G6</f>
        <v>0.13103606607558679</v>
      </c>
      <c r="H8" s="7">
        <f>RAW_FINANCIALS!H10/RAW_FINANCIALS!H6</f>
        <v>0.14029873494894071</v>
      </c>
      <c r="I8" s="7">
        <f>RAW_FINANCIALS!I10/RAW_FINANCIALS!I6</f>
        <v>0.12241682193239287</v>
      </c>
      <c r="J8" s="10">
        <f t="shared" ref="J8:J10" si="0">AVERAGE(E8:I8)</f>
        <v>0.13349063009898537</v>
      </c>
    </row>
    <row r="9" spans="2:10">
      <c r="B9" s="1" t="s">
        <v>16</v>
      </c>
      <c r="E9" s="7">
        <f>RAW_FINANCIALS!E9/RAW_FINANCIALS!E6</f>
        <v>0.39304678259556586</v>
      </c>
      <c r="F9" s="7">
        <f>RAW_FINANCIALS!F9/RAW_FINANCIALS!F6</f>
        <v>0.39886795073617926</v>
      </c>
      <c r="G9" s="7">
        <f>RAW_FINANCIALS!G9/RAW_FINANCIALS!G6</f>
        <v>0.40096861300302827</v>
      </c>
      <c r="H9" s="7">
        <f>RAW_FINANCIALS!H9/RAW_FINANCIALS!H6</f>
        <v>0.40488166002569292</v>
      </c>
      <c r="I9" s="7">
        <f>RAW_FINANCIALS!I9/RAW_FINANCIALS!I6</f>
        <v>0.39784934788394993</v>
      </c>
      <c r="J9" s="10">
        <f t="shared" si="0"/>
        <v>0.39912287084888326</v>
      </c>
    </row>
    <row r="10" spans="2:10">
      <c r="B10" s="1" t="s">
        <v>17</v>
      </c>
      <c r="E10" s="7">
        <f>(RAW_FINANCIALS!E13/RAW_FINANCIALS!D13)-1</f>
        <v>7.2265625E-2</v>
      </c>
      <c r="F10" s="7">
        <f>(RAW_FINANCIALS!F13/RAW_FINANCIALS!E13)-1</f>
        <v>0.1693989071038251</v>
      </c>
      <c r="G10" s="7">
        <f>(RAW_FINANCIALS!G13/RAW_FINANCIALS!F13)-1</f>
        <v>2.1806853582554409E-2</v>
      </c>
      <c r="H10" s="7">
        <f>(RAW_FINANCIALS!H13/RAW_FINANCIALS!G13)-1</f>
        <v>5.945121951219523E-2</v>
      </c>
      <c r="I10" s="7">
        <f>(RAW_FINANCIALS!I13/RAW_FINANCIALS!H13)-1</f>
        <v>-0.13669064748201443</v>
      </c>
      <c r="J10" s="10">
        <f t="shared" si="0"/>
        <v>3.7246391543312066E-2</v>
      </c>
    </row>
    <row r="11" spans="2:10">
      <c r="B11" s="1" t="s">
        <v>74</v>
      </c>
      <c r="E11" s="7">
        <f>(RAW_FINANCIALS!E16/RAW_FINANCIALS!D16)-1</f>
        <v>9.0801886792452935E-2</v>
      </c>
      <c r="F11" s="7">
        <f>(RAW_FINANCIALS!F16/RAW_FINANCIALS!E16)-1</f>
        <v>0.12583783783783775</v>
      </c>
      <c r="G11" s="7">
        <f>(RAW_FINANCIALS!G16/RAW_FINANCIALS!F16)-1</f>
        <v>5.9727290186287751E-2</v>
      </c>
      <c r="H11" s="7">
        <f>(RAW_FINANCIALS!H16/RAW_FINANCIALS!G16)-1</f>
        <v>-3.6245016310257339E-2</v>
      </c>
      <c r="I11" s="7">
        <f>(RAW_FINANCIALS!I16/RAW_FINANCIALS!H16)-1</f>
        <v>-0.16980067694622036</v>
      </c>
      <c r="J11" s="10">
        <f>AVERAGE(E11:I11)</f>
        <v>1.4064264312020147E-2</v>
      </c>
    </row>
    <row r="12" spans="2:10">
      <c r="B12" s="1" t="s">
        <v>75</v>
      </c>
      <c r="E12" s="7">
        <f>RAW_FINANCIALS!E16/RAW_FINANCIALS!E6</f>
        <v>5.8195132999471523E-2</v>
      </c>
      <c r="F12" s="7">
        <f>RAW_FINANCIALS!F16/RAW_FINANCIALS!F6</f>
        <v>6.0271784424483749E-2</v>
      </c>
      <c r="G12" s="7">
        <f>RAW_FINANCIALS!G16/RAW_FINANCIALS!G6</f>
        <v>6.0325130369188046E-2</v>
      </c>
      <c r="H12" s="7">
        <f>RAW_FINANCIALS!H16/RAW_FINANCIALS!H6</f>
        <v>5.7896226620506454E-2</v>
      </c>
      <c r="I12" s="7">
        <f>RAW_FINANCIALS!I16/RAW_FINANCIALS!I6</f>
        <v>4.7005589566143202E-2</v>
      </c>
      <c r="J12" s="10">
        <f>AVERAGE(E12:I12)</f>
        <v>5.6738772795958591E-2</v>
      </c>
    </row>
    <row r="13" spans="2:10">
      <c r="B13" s="1" t="s">
        <v>18</v>
      </c>
      <c r="E13" s="7">
        <f>(RAW_FINANCIALS!E17/RAW_FINANCIALS!D17)-1</f>
        <v>9.6971598932998671E-2</v>
      </c>
      <c r="F13" s="7">
        <f>(RAW_FINANCIALS!F17/RAW_FINANCIALS!E17)-1</f>
        <v>-0.19839794020883994</v>
      </c>
      <c r="G13" s="7">
        <f>(RAW_FINANCIALS!G17/RAW_FINANCIALS!F17)-1</f>
        <v>0.41042112776588158</v>
      </c>
      <c r="H13" s="7">
        <f>(RAW_FINANCIALS!H17/RAW_FINANCIALS!G17)-1</f>
        <v>-9.0460526315789491E-2</v>
      </c>
      <c r="I13" s="7">
        <f>(RAW_FINANCIALS!I17/RAW_FINANCIALS!H17)-1</f>
        <v>6.7185978578383709E-2</v>
      </c>
      <c r="J13" s="10">
        <f>AVERAGE(E13:I13)</f>
        <v>5.7144047750526908E-2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D95-0F05-944E-BB4E-2DF6BE2CAEB2}">
  <sheetPr>
    <tabColor rgb="FF0070C0"/>
  </sheetPr>
  <dimension ref="B2:L18"/>
  <sheetViews>
    <sheetView showGridLines="0" zoomScale="125" zoomScaleNormal="150" workbookViewId="0">
      <selection activeCell="D23" sqref="D23"/>
    </sheetView>
  </sheetViews>
  <sheetFormatPr baseColWidth="10" defaultRowHeight="16"/>
  <cols>
    <col min="1" max="1" width="3.83203125" style="1" customWidth="1"/>
    <col min="2" max="2" width="42.1640625" style="1" bestFit="1" customWidth="1"/>
    <col min="3" max="16384" width="10.83203125" style="1"/>
  </cols>
  <sheetData>
    <row r="2" spans="2:12" ht="21">
      <c r="B2" s="23" t="s">
        <v>19</v>
      </c>
      <c r="C2" s="23"/>
      <c r="D2" s="23"/>
      <c r="E2" s="23"/>
      <c r="F2" s="23"/>
      <c r="G2" s="23"/>
      <c r="H2" s="23"/>
      <c r="I2" s="23"/>
      <c r="J2" s="46"/>
      <c r="K2" s="46"/>
      <c r="L2" s="46"/>
    </row>
    <row r="4" spans="2:12" ht="17" thickBot="1">
      <c r="D4" s="55" t="s">
        <v>27</v>
      </c>
      <c r="E4" s="55" t="s">
        <v>28</v>
      </c>
      <c r="F4" s="55" t="s">
        <v>29</v>
      </c>
      <c r="G4" s="55" t="s">
        <v>30</v>
      </c>
      <c r="H4" s="55" t="s">
        <v>31</v>
      </c>
      <c r="I4" s="55" t="s">
        <v>32</v>
      </c>
    </row>
    <row r="5" spans="2:12" ht="17" thickTop="1"/>
    <row r="6" spans="2:12">
      <c r="B6" s="1" t="s">
        <v>20</v>
      </c>
      <c r="D6" s="8">
        <v>18189</v>
      </c>
      <c r="E6" s="8">
        <v>19608</v>
      </c>
      <c r="F6" s="8">
        <v>23291</v>
      </c>
      <c r="G6" s="8">
        <v>24914</v>
      </c>
      <c r="H6" s="8"/>
      <c r="I6" s="8"/>
    </row>
    <row r="7" spans="2:12">
      <c r="B7" s="1" t="s">
        <v>21</v>
      </c>
      <c r="D7" s="8">
        <v>2742</v>
      </c>
      <c r="E7" s="8">
        <v>2751</v>
      </c>
      <c r="F7" s="8">
        <v>3160</v>
      </c>
      <c r="G7" s="8">
        <v>3101</v>
      </c>
      <c r="H7" s="8">
        <v>27431</v>
      </c>
      <c r="I7" s="8">
        <v>27528</v>
      </c>
    </row>
    <row r="8" spans="2:12">
      <c r="B8" s="1" t="s">
        <v>22</v>
      </c>
      <c r="D8" s="8">
        <v>22559</v>
      </c>
      <c r="E8" s="8">
        <v>25276</v>
      </c>
      <c r="F8" s="8">
        <v>26213</v>
      </c>
      <c r="G8" s="8">
        <v>27626</v>
      </c>
      <c r="H8" s="8">
        <v>27769</v>
      </c>
      <c r="I8" s="8">
        <v>28197</v>
      </c>
    </row>
    <row r="9" spans="2:12">
      <c r="B9" s="1" t="s">
        <v>23</v>
      </c>
      <c r="D9" s="8">
        <v>6942</v>
      </c>
      <c r="E9" s="8">
        <v>8108</v>
      </c>
      <c r="F9" s="8">
        <v>9779</v>
      </c>
      <c r="G9" s="8">
        <v>11654</v>
      </c>
      <c r="H9" s="8">
        <v>10568</v>
      </c>
      <c r="I9" s="8">
        <v>10549</v>
      </c>
    </row>
    <row r="10" spans="2:12">
      <c r="B10" s="1" t="s">
        <v>24</v>
      </c>
      <c r="D10" s="8">
        <v>11922</v>
      </c>
      <c r="E10" s="8">
        <v>13038</v>
      </c>
      <c r="F10" s="8">
        <v>12724</v>
      </c>
      <c r="G10" s="8">
        <v>13234</v>
      </c>
      <c r="H10" s="8">
        <v>4879</v>
      </c>
      <c r="I10" s="8">
        <v>4997</v>
      </c>
    </row>
    <row r="11" spans="2:12">
      <c r="B11" s="1" t="s">
        <v>25</v>
      </c>
      <c r="D11" s="8">
        <v>4573</v>
      </c>
      <c r="E11" s="8">
        <v>6078</v>
      </c>
      <c r="F11" s="8">
        <v>6438</v>
      </c>
      <c r="G11" s="8">
        <v>6139</v>
      </c>
      <c r="H11" s="8">
        <v>16658</v>
      </c>
      <c r="I11" s="8">
        <v>18025</v>
      </c>
    </row>
    <row r="12" spans="2:12">
      <c r="B12" s="1" t="s">
        <v>26</v>
      </c>
      <c r="D12" s="8">
        <v>3445</v>
      </c>
      <c r="E12" s="8">
        <v>4615</v>
      </c>
      <c r="F12" s="8">
        <v>4787</v>
      </c>
      <c r="G12" s="8">
        <v>4803</v>
      </c>
      <c r="H12" s="8">
        <v>4549</v>
      </c>
      <c r="I12" s="8">
        <v>4629</v>
      </c>
    </row>
    <row r="13" spans="2:12">
      <c r="D13" s="8"/>
      <c r="E13" s="8"/>
      <c r="F13" s="8"/>
      <c r="G13" s="8"/>
      <c r="H13" s="8"/>
      <c r="I13" s="8"/>
    </row>
    <row r="14" spans="2:12">
      <c r="B14" s="1" t="s">
        <v>33</v>
      </c>
      <c r="D14" s="8">
        <f t="shared" ref="D14:I14" si="0">SUM(D6:D12)</f>
        <v>70372</v>
      </c>
      <c r="E14" s="8">
        <f t="shared" si="0"/>
        <v>79474</v>
      </c>
      <c r="F14" s="8">
        <f t="shared" si="0"/>
        <v>86392</v>
      </c>
      <c r="G14" s="8">
        <f t="shared" si="0"/>
        <v>91471</v>
      </c>
      <c r="H14" s="8">
        <f t="shared" si="0"/>
        <v>91854</v>
      </c>
      <c r="I14" s="8">
        <f t="shared" si="0"/>
        <v>93925</v>
      </c>
    </row>
    <row r="15" spans="2:12">
      <c r="B15" s="1" t="s">
        <v>34</v>
      </c>
      <c r="D15" s="8">
        <f>RAW_FINANCIALS!D6</f>
        <v>70372</v>
      </c>
      <c r="E15" s="8">
        <f>RAW_FINANCIALS!E6</f>
        <v>79474</v>
      </c>
      <c r="F15" s="8">
        <f>RAW_FINANCIALS!F6</f>
        <v>86392</v>
      </c>
      <c r="G15" s="8">
        <f>RAW_FINANCIALS!G6</f>
        <v>91471</v>
      </c>
      <c r="H15" s="8">
        <f>RAW_FINANCIALS!H6</f>
        <v>91854</v>
      </c>
      <c r="I15" s="8">
        <f>RAW_FINANCIALS!I6</f>
        <v>93925</v>
      </c>
    </row>
    <row r="16" spans="2:12">
      <c r="B16" s="1" t="s">
        <v>35</v>
      </c>
      <c r="D16" s="8">
        <f>D14-D15</f>
        <v>0</v>
      </c>
      <c r="E16" s="8">
        <f t="shared" ref="E16:F16" si="1">E14-E15</f>
        <v>0</v>
      </c>
      <c r="F16" s="8">
        <f t="shared" si="1"/>
        <v>0</v>
      </c>
      <c r="G16" s="8">
        <f>G14-G15</f>
        <v>0</v>
      </c>
      <c r="H16" s="8">
        <f>H14-H15</f>
        <v>0</v>
      </c>
      <c r="I16" s="8">
        <f>I14-I15</f>
        <v>0</v>
      </c>
    </row>
    <row r="18" spans="4:10">
      <c r="D18" s="68" t="s">
        <v>156</v>
      </c>
      <c r="E18" s="68"/>
      <c r="F18" s="68"/>
      <c r="G18" s="68"/>
      <c r="H18" s="68"/>
      <c r="I18" s="68"/>
      <c r="J18" s="68"/>
    </row>
  </sheetData>
  <mergeCells count="1">
    <mergeCell ref="D18:J18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1FE0-BDB2-3640-ABBB-A5343A5CAEF8}">
  <sheetPr>
    <tabColor rgb="FF0070C0"/>
  </sheetPr>
  <dimension ref="B2:E13"/>
  <sheetViews>
    <sheetView showGridLines="0" zoomScale="120" zoomScaleNormal="120" workbookViewId="0">
      <selection activeCell="E5" sqref="E5"/>
    </sheetView>
  </sheetViews>
  <sheetFormatPr baseColWidth="10" defaultRowHeight="16"/>
  <cols>
    <col min="1" max="1" width="3.83203125" style="1" customWidth="1"/>
    <col min="2" max="2" width="7.5" style="1" bestFit="1" customWidth="1"/>
    <col min="3" max="3" width="13.33203125" style="1" bestFit="1" customWidth="1"/>
    <col min="4" max="4" width="61" style="1" bestFit="1" customWidth="1"/>
    <col min="5" max="5" width="50.33203125" style="1" bestFit="1" customWidth="1"/>
    <col min="6" max="6" width="29" style="1" bestFit="1" customWidth="1"/>
    <col min="7" max="16384" width="10.83203125" style="1"/>
  </cols>
  <sheetData>
    <row r="2" spans="2:5" ht="24">
      <c r="B2" s="52" t="s">
        <v>36</v>
      </c>
      <c r="C2" s="52" t="s">
        <v>38</v>
      </c>
      <c r="D2" s="52" t="s">
        <v>37</v>
      </c>
      <c r="E2" s="52" t="s">
        <v>39</v>
      </c>
    </row>
    <row r="3" spans="2:5" ht="21">
      <c r="B3" s="27"/>
      <c r="C3" s="27"/>
      <c r="D3" s="27"/>
      <c r="E3" s="27"/>
    </row>
    <row r="4" spans="2:5" ht="20">
      <c r="B4" s="51" t="s">
        <v>32</v>
      </c>
      <c r="C4" s="51" t="s">
        <v>1</v>
      </c>
      <c r="D4" s="51" t="s">
        <v>40</v>
      </c>
      <c r="E4" s="51" t="s">
        <v>41</v>
      </c>
    </row>
    <row r="5" spans="2:5" ht="20">
      <c r="B5" s="51" t="s">
        <v>32</v>
      </c>
      <c r="C5" s="51" t="s">
        <v>1</v>
      </c>
      <c r="D5" s="51" t="s">
        <v>42</v>
      </c>
      <c r="E5" s="51" t="s">
        <v>43</v>
      </c>
    </row>
    <row r="6" spans="2:5" ht="20">
      <c r="B6" s="51" t="s">
        <v>32</v>
      </c>
      <c r="C6" s="51" t="s">
        <v>44</v>
      </c>
      <c r="D6" s="51" t="s">
        <v>45</v>
      </c>
      <c r="E6" s="51" t="s">
        <v>46</v>
      </c>
    </row>
    <row r="7" spans="2:5" ht="20">
      <c r="B7" s="51" t="s">
        <v>32</v>
      </c>
      <c r="C7" s="51" t="s">
        <v>44</v>
      </c>
      <c r="D7" s="51" t="s">
        <v>47</v>
      </c>
      <c r="E7" s="51" t="s">
        <v>48</v>
      </c>
    </row>
    <row r="8" spans="2:5" ht="20">
      <c r="B8" s="51" t="s">
        <v>32</v>
      </c>
      <c r="C8" s="51" t="s">
        <v>49</v>
      </c>
      <c r="D8" s="51" t="s">
        <v>50</v>
      </c>
      <c r="E8" s="51" t="s">
        <v>51</v>
      </c>
    </row>
    <row r="9" spans="2:5" ht="20">
      <c r="B9" s="51" t="s">
        <v>31</v>
      </c>
      <c r="C9" s="51" t="s">
        <v>1</v>
      </c>
      <c r="D9" s="51" t="s">
        <v>40</v>
      </c>
      <c r="E9" s="51" t="s">
        <v>41</v>
      </c>
    </row>
    <row r="10" spans="2:5" ht="20">
      <c r="B10" s="51" t="s">
        <v>31</v>
      </c>
      <c r="C10" s="51" t="s">
        <v>1</v>
      </c>
      <c r="D10" s="51" t="s">
        <v>42</v>
      </c>
      <c r="E10" s="51" t="s">
        <v>43</v>
      </c>
    </row>
    <row r="11" spans="2:5" ht="20">
      <c r="B11" s="51" t="s">
        <v>31</v>
      </c>
      <c r="C11" s="51" t="s">
        <v>44</v>
      </c>
      <c r="D11" s="51" t="s">
        <v>45</v>
      </c>
      <c r="E11" s="51" t="s">
        <v>46</v>
      </c>
    </row>
    <row r="12" spans="2:5" ht="20">
      <c r="B12" s="51" t="s">
        <v>31</v>
      </c>
      <c r="C12" s="51" t="s">
        <v>49</v>
      </c>
      <c r="D12" s="51" t="s">
        <v>52</v>
      </c>
      <c r="E12" s="51" t="s">
        <v>53</v>
      </c>
    </row>
    <row r="13" spans="2:5" ht="20">
      <c r="B13" s="51" t="s">
        <v>31</v>
      </c>
      <c r="C13" s="51" t="s">
        <v>54</v>
      </c>
      <c r="D13" s="51" t="s">
        <v>55</v>
      </c>
      <c r="E13" s="51" t="s">
        <v>56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4EA7-BAEA-5E4C-9715-E78907B3A12C}">
  <sheetPr>
    <tabColor theme="9" tint="-0.249977111117893"/>
  </sheetPr>
  <dimension ref="B2:K24"/>
  <sheetViews>
    <sheetView showGridLines="0" zoomScale="120" zoomScaleNormal="120" workbookViewId="0">
      <selection activeCell="K21" sqref="K21"/>
    </sheetView>
  </sheetViews>
  <sheetFormatPr baseColWidth="10" defaultRowHeight="16"/>
  <cols>
    <col min="1" max="1" width="3.83203125" style="1" customWidth="1"/>
    <col min="2" max="2" width="21" style="1" bestFit="1" customWidth="1"/>
    <col min="3" max="16384" width="10.83203125" style="1"/>
  </cols>
  <sheetData>
    <row r="2" spans="2:10" ht="19">
      <c r="B2" s="15" t="s">
        <v>70</v>
      </c>
      <c r="C2" s="16"/>
      <c r="D2" s="16"/>
      <c r="E2" s="16"/>
      <c r="F2" s="16"/>
    </row>
    <row r="3" spans="2:10" ht="19">
      <c r="B3" s="14"/>
    </row>
    <row r="4" spans="2:10" ht="17" thickBot="1">
      <c r="D4" s="58" t="s">
        <v>61</v>
      </c>
      <c r="E4" s="58" t="s">
        <v>62</v>
      </c>
      <c r="F4" s="58" t="s">
        <v>63</v>
      </c>
    </row>
    <row r="5" spans="2:10" ht="17" thickTop="1"/>
    <row r="6" spans="2:10">
      <c r="B6" s="1" t="s">
        <v>64</v>
      </c>
      <c r="D6" s="13">
        <v>3.5000000000000003E-2</v>
      </c>
      <c r="E6" s="13">
        <v>0.03</v>
      </c>
      <c r="F6" s="13">
        <v>2.5000000000000001E-2</v>
      </c>
    </row>
    <row r="7" spans="2:10">
      <c r="B7" s="1" t="s">
        <v>65</v>
      </c>
      <c r="D7" s="13">
        <v>0.01</v>
      </c>
      <c r="E7" s="13">
        <v>1.4999999999999999E-2</v>
      </c>
      <c r="F7" s="13">
        <v>0.02</v>
      </c>
    </row>
    <row r="8" spans="2:10">
      <c r="B8" s="1" t="s">
        <v>13</v>
      </c>
      <c r="D8" s="13">
        <v>4.5000000000000005E-2</v>
      </c>
      <c r="E8" s="13">
        <v>4.4999999999999998E-2</v>
      </c>
      <c r="F8" s="13">
        <v>4.4999999999999998E-2</v>
      </c>
      <c r="H8" s="12"/>
      <c r="I8" s="12"/>
      <c r="J8" s="12"/>
    </row>
    <row r="9" spans="2:10">
      <c r="B9" s="1" t="s">
        <v>66</v>
      </c>
      <c r="D9" s="13">
        <v>0.03</v>
      </c>
      <c r="E9" s="13">
        <v>2.5000000000000001E-2</v>
      </c>
      <c r="F9" s="13">
        <v>0.02</v>
      </c>
    </row>
    <row r="10" spans="2:10">
      <c r="B10" s="1" t="s">
        <v>67</v>
      </c>
      <c r="D10" s="13">
        <v>0.45750000000000002</v>
      </c>
      <c r="E10" s="13">
        <v>0.45500000000000002</v>
      </c>
      <c r="F10" s="13">
        <v>0.45250000000000001</v>
      </c>
    </row>
    <row r="11" spans="2:10">
      <c r="B11" s="1" t="s">
        <v>14</v>
      </c>
      <c r="D11" s="13">
        <v>0.54249999999999998</v>
      </c>
      <c r="E11" s="13">
        <v>0.54500000000000004</v>
      </c>
      <c r="F11" s="13">
        <v>0.54749999999999999</v>
      </c>
      <c r="G11" s="12"/>
      <c r="H11" s="12"/>
      <c r="I11" s="12"/>
    </row>
    <row r="12" spans="2:10">
      <c r="B12" s="1" t="s">
        <v>16</v>
      </c>
      <c r="D12" s="13">
        <v>0.4</v>
      </c>
      <c r="E12" s="13">
        <v>0.39750000000000002</v>
      </c>
      <c r="F12" s="13">
        <v>0.39500000000000002</v>
      </c>
    </row>
    <row r="13" spans="2:10">
      <c r="B13" s="1" t="s">
        <v>15</v>
      </c>
      <c r="D13" s="13">
        <v>0.125</v>
      </c>
      <c r="E13" s="13">
        <v>0.1275</v>
      </c>
      <c r="F13" s="13">
        <v>0.13</v>
      </c>
    </row>
    <row r="14" spans="2:10">
      <c r="B14" s="1" t="s">
        <v>68</v>
      </c>
      <c r="D14" s="13">
        <v>0.21</v>
      </c>
      <c r="E14" s="13">
        <v>0.21</v>
      </c>
      <c r="F14" s="13">
        <v>0.21</v>
      </c>
    </row>
    <row r="15" spans="2:10">
      <c r="B15" s="1" t="s">
        <v>69</v>
      </c>
      <c r="D15" s="13">
        <v>0</v>
      </c>
      <c r="E15" s="13">
        <v>0</v>
      </c>
      <c r="F15" s="13">
        <v>0</v>
      </c>
    </row>
    <row r="16" spans="2:10">
      <c r="B16" s="1" t="s">
        <v>109</v>
      </c>
      <c r="D16" s="13">
        <v>5.7000000000000002E-2</v>
      </c>
      <c r="E16" s="13">
        <v>5.7000000000000002E-2</v>
      </c>
      <c r="F16" s="13">
        <v>5.7000000000000002E-2</v>
      </c>
    </row>
    <row r="18" spans="2:11">
      <c r="B18" s="1" t="s">
        <v>36</v>
      </c>
      <c r="C18" s="1" t="s">
        <v>72</v>
      </c>
      <c r="F18" s="18"/>
      <c r="G18" s="18"/>
      <c r="H18" s="18"/>
      <c r="I18" s="18"/>
      <c r="J18" s="18"/>
      <c r="K18" s="18"/>
    </row>
    <row r="19" spans="2:11">
      <c r="B19" s="1" t="s">
        <v>27</v>
      </c>
      <c r="C19" s="18">
        <v>20.9</v>
      </c>
    </row>
    <row r="20" spans="2:11">
      <c r="B20" s="1" t="s">
        <v>28</v>
      </c>
      <c r="C20" s="18">
        <v>21.8</v>
      </c>
    </row>
    <row r="21" spans="2:11">
      <c r="B21" s="1" t="s">
        <v>29</v>
      </c>
      <c r="C21" s="18">
        <v>16.100000000000001</v>
      </c>
    </row>
    <row r="22" spans="2:11">
      <c r="B22" s="1" t="s">
        <v>30</v>
      </c>
      <c r="C22" s="18">
        <v>19.8</v>
      </c>
    </row>
    <row r="23" spans="2:11">
      <c r="B23" s="1" t="s">
        <v>31</v>
      </c>
      <c r="C23" s="18">
        <v>19.399999999999999</v>
      </c>
    </row>
    <row r="24" spans="2:11">
      <c r="B24" s="1" t="s">
        <v>32</v>
      </c>
      <c r="C24" s="18">
        <v>19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8ACA-8E85-A647-BCA1-399ACDFC9C1C}">
  <sheetPr>
    <tabColor theme="9" tint="-0.249977111117893"/>
  </sheetPr>
  <dimension ref="B2:M3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6"/>
  <cols>
    <col min="1" max="1" width="3.83203125" style="1" customWidth="1"/>
    <col min="2" max="2" width="35.1640625" style="1" customWidth="1"/>
    <col min="3" max="16384" width="10.83203125" style="1"/>
  </cols>
  <sheetData>
    <row r="2" spans="2:13" ht="21">
      <c r="B2" s="23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2:13" ht="17" thickBot="1">
      <c r="D4" s="25">
        <v>20</v>
      </c>
      <c r="E4" s="25">
        <v>21</v>
      </c>
      <c r="F4" s="25">
        <v>22</v>
      </c>
      <c r="G4" s="25">
        <v>23</v>
      </c>
      <c r="H4" s="25">
        <v>24</v>
      </c>
      <c r="I4" s="25">
        <v>25</v>
      </c>
      <c r="J4" s="26">
        <v>26</v>
      </c>
      <c r="K4" s="26">
        <v>27</v>
      </c>
      <c r="L4" s="26">
        <v>28</v>
      </c>
    </row>
    <row r="5" spans="2:13" ht="17" thickTop="1"/>
    <row r="6" spans="2:13">
      <c r="B6" s="1" t="s">
        <v>1</v>
      </c>
      <c r="D6" s="8">
        <f>RAW_FINANCIALS!D6</f>
        <v>70372</v>
      </c>
      <c r="E6" s="8">
        <f>RAW_FINANCIALS!E6</f>
        <v>79474</v>
      </c>
      <c r="F6" s="8">
        <f>RAW_FINANCIALS!F6</f>
        <v>86392</v>
      </c>
      <c r="G6" s="8">
        <f>RAW_FINANCIALS!G6</f>
        <v>91471</v>
      </c>
      <c r="H6" s="8">
        <f>RAW_FINANCIALS!H6</f>
        <v>91854</v>
      </c>
      <c r="I6" s="8">
        <f>RAW_FINANCIALS!I6</f>
        <v>93925</v>
      </c>
      <c r="J6" s="20">
        <f>I6*(1+ASSUMPTIONS!D8)</f>
        <v>98151.625</v>
      </c>
      <c r="K6" s="20">
        <f>J6*(1+ASSUMPTIONS!E8)</f>
        <v>102568.448125</v>
      </c>
      <c r="L6" s="20">
        <f>K6*(1+ASSUMPTIONS!F8)</f>
        <v>107184.02829062499</v>
      </c>
    </row>
    <row r="7" spans="2:13">
      <c r="B7" s="1" t="s">
        <v>13</v>
      </c>
      <c r="D7" s="7"/>
      <c r="E7" s="7">
        <f>(E6/D6)-1</f>
        <v>0.12934121525606779</v>
      </c>
      <c r="F7" s="7">
        <f t="shared" ref="F7:I7" si="0">(F6/E6)-1</f>
        <v>8.7047336235750006E-2</v>
      </c>
      <c r="G7" s="7">
        <f t="shared" si="0"/>
        <v>5.879016575608853E-2</v>
      </c>
      <c r="H7" s="7">
        <f t="shared" si="0"/>
        <v>4.1871194148965785E-3</v>
      </c>
      <c r="I7" s="7">
        <f t="shared" si="0"/>
        <v>2.2546650118666633E-2</v>
      </c>
      <c r="J7" s="21">
        <f t="shared" ref="J7" si="1">(J6/I6)-1</f>
        <v>4.4999999999999929E-2</v>
      </c>
      <c r="K7" s="21">
        <f t="shared" ref="K7" si="2">(K6/J6)-1</f>
        <v>4.4999999999999929E-2</v>
      </c>
      <c r="L7" s="21">
        <f t="shared" ref="L7" si="3">(L6/K6)-1</f>
        <v>4.4999999999999929E-2</v>
      </c>
    </row>
    <row r="8" spans="2:13">
      <c r="B8" s="1" t="s">
        <v>2</v>
      </c>
      <c r="D8" s="8">
        <f>RAW_FINANCIALS!D7</f>
        <v>31797</v>
      </c>
      <c r="E8" s="8">
        <f>RAW_FINANCIALS!E7</f>
        <v>37075</v>
      </c>
      <c r="F8" s="8">
        <f>RAW_FINANCIALS!F7</f>
        <v>40576</v>
      </c>
      <c r="G8" s="8">
        <f>RAW_FINANCIALS!G7</f>
        <v>41881</v>
      </c>
      <c r="H8" s="8">
        <f>RAW_FINANCIALS!H7</f>
        <v>41744</v>
      </c>
      <c r="I8" s="8">
        <f>RAW_FINANCIALS!I7</f>
        <v>43066</v>
      </c>
      <c r="J8" s="20">
        <f>J6*ASSUMPTIONS!D10</f>
        <v>44904.368437500001</v>
      </c>
      <c r="K8" s="20">
        <f>K6*ASSUMPTIONS!E10</f>
        <v>46668.643896875001</v>
      </c>
      <c r="L8" s="20">
        <f>L6*ASSUMPTIONS!F10</f>
        <v>48500.77280150781</v>
      </c>
    </row>
    <row r="9" spans="2:13">
      <c r="B9" s="1" t="s">
        <v>11</v>
      </c>
      <c r="D9" s="8">
        <f>RAW_FINANCIALS!D8</f>
        <v>38575</v>
      </c>
      <c r="E9" s="8">
        <f>RAW_FINANCIALS!E8</f>
        <v>42399</v>
      </c>
      <c r="F9" s="8">
        <f>RAW_FINANCIALS!F8</f>
        <v>45816</v>
      </c>
      <c r="G9" s="8">
        <f>RAW_FINANCIALS!G8</f>
        <v>49590</v>
      </c>
      <c r="H9" s="8">
        <f>RAW_FINANCIALS!H8</f>
        <v>50110</v>
      </c>
      <c r="I9" s="8">
        <f>RAW_FINANCIALS!I8</f>
        <v>50859</v>
      </c>
      <c r="J9" s="20">
        <f>J6-J8</f>
        <v>53247.256562499999</v>
      </c>
      <c r="K9" s="20">
        <f t="shared" ref="K9:L9" si="4">K6-K8</f>
        <v>55899.804228124995</v>
      </c>
      <c r="L9" s="20">
        <f t="shared" si="4"/>
        <v>58683.255489117182</v>
      </c>
    </row>
    <row r="10" spans="2:13">
      <c r="B10" s="1" t="s">
        <v>14</v>
      </c>
      <c r="D10" s="7">
        <f>D9/D6</f>
        <v>0.54815835843801508</v>
      </c>
      <c r="E10" s="7">
        <f t="shared" ref="E10:I10" si="5">E9/E6</f>
        <v>0.53349523114477693</v>
      </c>
      <c r="F10" s="7">
        <f t="shared" si="5"/>
        <v>0.5303268821187147</v>
      </c>
      <c r="G10" s="7">
        <f t="shared" si="5"/>
        <v>0.54213903860239854</v>
      </c>
      <c r="H10" s="7">
        <f t="shared" si="5"/>
        <v>0.54553966076599825</v>
      </c>
      <c r="I10" s="7">
        <f t="shared" si="5"/>
        <v>0.54148522757519302</v>
      </c>
      <c r="J10" s="21">
        <f>J9/J6</f>
        <v>0.54249999999999998</v>
      </c>
      <c r="K10" s="21">
        <f t="shared" ref="K10:L10" si="6">K9/K6</f>
        <v>0.54499999999999993</v>
      </c>
      <c r="L10" s="21">
        <f t="shared" si="6"/>
        <v>0.54749999999999999</v>
      </c>
    </row>
    <row r="11" spans="2:13">
      <c r="B11" s="1" t="s">
        <v>3</v>
      </c>
      <c r="D11" s="8">
        <f>RAW_FINANCIALS!D9</f>
        <v>28495</v>
      </c>
      <c r="E11" s="8">
        <f>RAW_FINANCIALS!E9</f>
        <v>31237</v>
      </c>
      <c r="F11" s="8">
        <f>RAW_FINANCIALS!F9</f>
        <v>34459</v>
      </c>
      <c r="G11" s="8">
        <f>RAW_FINANCIALS!G9</f>
        <v>36677</v>
      </c>
      <c r="H11" s="8">
        <f>RAW_FINANCIALS!H9</f>
        <v>37190</v>
      </c>
      <c r="I11" s="8">
        <f>RAW_FINANCIALS!I9</f>
        <v>37368</v>
      </c>
      <c r="J11" s="20">
        <f>J6*ASSUMPTIONS!D12</f>
        <v>39260.65</v>
      </c>
      <c r="K11" s="20">
        <f>K6*ASSUMPTIONS!E12</f>
        <v>40770.958129687497</v>
      </c>
      <c r="L11" s="20">
        <f>L6*ASSUMPTIONS!F12</f>
        <v>42337.691174796877</v>
      </c>
    </row>
    <row r="12" spans="2:13">
      <c r="B12" s="1" t="s">
        <v>16</v>
      </c>
      <c r="D12" s="11">
        <f>D11/D6</f>
        <v>0.40491957028363551</v>
      </c>
      <c r="E12" s="11">
        <f t="shared" ref="E12:I12" si="7">E11/E6</f>
        <v>0.39304678259556586</v>
      </c>
      <c r="F12" s="11">
        <f t="shared" si="7"/>
        <v>0.39886795073617926</v>
      </c>
      <c r="G12" s="11">
        <f t="shared" si="7"/>
        <v>0.40096861300302827</v>
      </c>
      <c r="H12" s="11">
        <f t="shared" si="7"/>
        <v>0.40488166002569292</v>
      </c>
      <c r="I12" s="11">
        <f t="shared" si="7"/>
        <v>0.39784934788394993</v>
      </c>
      <c r="J12" s="21">
        <f>J11/J6</f>
        <v>0.4</v>
      </c>
      <c r="K12" s="21">
        <f t="shared" ref="K12:L12" si="8">K11/K6</f>
        <v>0.39749999999999996</v>
      </c>
      <c r="L12" s="21">
        <f t="shared" si="8"/>
        <v>0.39500000000000007</v>
      </c>
    </row>
    <row r="13" spans="2:13">
      <c r="B13" s="1" t="s">
        <v>4</v>
      </c>
      <c r="D13" s="8">
        <f>RAW_FINANCIALS!D10</f>
        <v>10080</v>
      </c>
      <c r="E13" s="8">
        <f>RAW_FINANCIALS!E10</f>
        <v>11162</v>
      </c>
      <c r="F13" s="8">
        <f>RAW_FINANCIALS!F10</f>
        <v>11512</v>
      </c>
      <c r="G13" s="8">
        <f>RAW_FINANCIALS!G10</f>
        <v>11986</v>
      </c>
      <c r="H13" s="8">
        <f>RAW_FINANCIALS!H10</f>
        <v>12887</v>
      </c>
      <c r="I13" s="8">
        <f>RAW_FINANCIALS!I10</f>
        <v>11498</v>
      </c>
      <c r="J13" s="20">
        <f>J9-J11</f>
        <v>13986.606562499997</v>
      </c>
      <c r="K13" s="20">
        <f t="shared" ref="K13:L13" si="9">K9-K11</f>
        <v>15128.846098437498</v>
      </c>
      <c r="L13" s="20">
        <f t="shared" si="9"/>
        <v>16345.564314320305</v>
      </c>
    </row>
    <row r="14" spans="2:13">
      <c r="B14" s="1" t="s">
        <v>15</v>
      </c>
      <c r="D14" s="7">
        <f>RAW_FINANCIALS!D11</f>
        <v>0.14319999999999999</v>
      </c>
      <c r="E14" s="7">
        <f>RAW_FINANCIALS!E11</f>
        <v>0.14044999999999999</v>
      </c>
      <c r="F14" s="7">
        <f>RAW_FINANCIALS!F11</f>
        <v>0.13325000000000001</v>
      </c>
      <c r="G14" s="7">
        <f>RAW_FINANCIALS!G11</f>
        <v>0.13103999999999999</v>
      </c>
      <c r="H14" s="7">
        <f>RAW_FINANCIALS!H11</f>
        <v>0.14030000000000001</v>
      </c>
      <c r="I14" s="7">
        <f>I13/I6</f>
        <v>0.12241682193239287</v>
      </c>
      <c r="J14" s="21">
        <f>J13/J6</f>
        <v>0.14249999999999996</v>
      </c>
      <c r="K14" s="21">
        <f t="shared" ref="K14:L14" si="10">K13/K6</f>
        <v>0.14749999999999999</v>
      </c>
      <c r="L14" s="21">
        <f t="shared" si="10"/>
        <v>0.15249999999999994</v>
      </c>
      <c r="M14" s="10"/>
    </row>
    <row r="15" spans="2:13">
      <c r="B15" s="1" t="s">
        <v>6</v>
      </c>
      <c r="D15" s="8">
        <f>RAW_FINANCIALS!D12</f>
        <v>7120</v>
      </c>
      <c r="E15" s="8">
        <f>RAW_FINANCIALS!E12</f>
        <v>7618</v>
      </c>
      <c r="F15" s="8">
        <f>RAW_FINANCIALS!F12</f>
        <v>8910</v>
      </c>
      <c r="G15" s="8">
        <f>RAW_FINANCIALS!G12</f>
        <v>9074</v>
      </c>
      <c r="H15" s="8">
        <f>RAW_FINANCIALS!H12</f>
        <v>9578</v>
      </c>
      <c r="I15" s="8">
        <f>RAW_FINANCIALS!I12</f>
        <v>8240</v>
      </c>
      <c r="J15" s="20">
        <f>J13*(1-ASSUMPTIONS!D14)</f>
        <v>11049.419184374998</v>
      </c>
      <c r="K15" s="20">
        <f>K13*(1-ASSUMPTIONS!E14)</f>
        <v>11951.788417765623</v>
      </c>
      <c r="L15" s="20">
        <f>L13*(1-ASSUMPTIONS!F14)</f>
        <v>12912.995808313042</v>
      </c>
    </row>
    <row r="16" spans="2:13">
      <c r="B16" s="1" t="s">
        <v>68</v>
      </c>
      <c r="D16" s="4">
        <f>RAW_FINANCIALS!D18</f>
        <v>20.9</v>
      </c>
      <c r="E16" s="4">
        <f>RAW_FINANCIALS!E18</f>
        <v>21.8</v>
      </c>
      <c r="F16" s="4">
        <f>RAW_FINANCIALS!F18</f>
        <v>16.100000000000001</v>
      </c>
      <c r="G16" s="4">
        <f>RAW_FINANCIALS!G18</f>
        <v>19.8</v>
      </c>
      <c r="H16" s="4">
        <f>RAW_FINANCIALS!H18</f>
        <v>19.399999999999999</v>
      </c>
      <c r="I16" s="4">
        <f>RAW_FINANCIALS!I18</f>
        <v>19</v>
      </c>
      <c r="J16" s="22">
        <f>ASSUMPTIONS!D14</f>
        <v>0.21</v>
      </c>
      <c r="K16" s="22">
        <f>ASSUMPTIONS!E14</f>
        <v>0.21</v>
      </c>
      <c r="L16" s="22">
        <f>ASSUMPTIONS!F14</f>
        <v>0.21</v>
      </c>
    </row>
    <row r="17" spans="2:12">
      <c r="B17" s="1" t="s">
        <v>73</v>
      </c>
      <c r="D17" s="2">
        <v>1392</v>
      </c>
      <c r="E17" s="2">
        <v>1389</v>
      </c>
      <c r="F17" s="2">
        <v>1387</v>
      </c>
      <c r="G17" s="2">
        <v>1383</v>
      </c>
      <c r="H17" s="2">
        <v>1378</v>
      </c>
      <c r="I17" s="2">
        <v>1373</v>
      </c>
      <c r="J17" s="20">
        <f>I17</f>
        <v>1373</v>
      </c>
      <c r="K17" s="20">
        <f t="shared" ref="K17:L17" si="11">J17</f>
        <v>1373</v>
      </c>
      <c r="L17" s="20">
        <f t="shared" si="11"/>
        <v>1373</v>
      </c>
    </row>
    <row r="18" spans="2:12">
      <c r="B18" s="1" t="s">
        <v>7</v>
      </c>
      <c r="D18" s="17">
        <f>RAW_FINANCIALS!D13</f>
        <v>5.12</v>
      </c>
      <c r="E18" s="17">
        <f>RAW_FINANCIALS!E13</f>
        <v>5.49</v>
      </c>
      <c r="F18" s="17">
        <f>RAW_FINANCIALS!F13</f>
        <v>6.42</v>
      </c>
      <c r="G18" s="17">
        <f>RAW_FINANCIALS!G13</f>
        <v>6.56</v>
      </c>
      <c r="H18" s="17">
        <f>RAW_FINANCIALS!H13</f>
        <v>6.95</v>
      </c>
      <c r="I18" s="17">
        <f>RAW_FINANCIALS!I13</f>
        <v>6</v>
      </c>
      <c r="J18" s="24">
        <f>J15/J17</f>
        <v>8.0476468932083005</v>
      </c>
      <c r="K18" s="24">
        <f t="shared" ref="K18:L18" si="12">K15/K17</f>
        <v>8.7048713894869802</v>
      </c>
      <c r="L18" s="24">
        <f t="shared" si="12"/>
        <v>9.4049496054719892</v>
      </c>
    </row>
    <row r="19" spans="2:12">
      <c r="B19" s="1" t="s">
        <v>71</v>
      </c>
      <c r="D19" s="8">
        <f>RAW_FINANCIALS!D15</f>
        <v>10613</v>
      </c>
      <c r="E19" s="8">
        <f>RAW_FINANCIALS!E15</f>
        <v>11616</v>
      </c>
      <c r="F19" s="8">
        <f>RAW_FINANCIALS!F15</f>
        <v>10811</v>
      </c>
      <c r="G19" s="8">
        <f>RAW_FINANCIALS!G15</f>
        <v>13422</v>
      </c>
      <c r="H19" s="8">
        <f>RAW_FINANCIALS!H15</f>
        <v>12507</v>
      </c>
      <c r="I19" s="8">
        <f>RAW_FINANCIALS!I15</f>
        <v>12087</v>
      </c>
      <c r="J19" s="20">
        <f>I19*(1+J7)</f>
        <v>12630.914999999999</v>
      </c>
      <c r="K19" s="20">
        <f t="shared" ref="K19:L19" si="13">J19*(1+K7)</f>
        <v>13199.306174999998</v>
      </c>
      <c r="L19" s="20">
        <f t="shared" si="13"/>
        <v>13793.274952874997</v>
      </c>
    </row>
    <row r="20" spans="2:12">
      <c r="B20" s="1" t="s">
        <v>9</v>
      </c>
      <c r="D20" s="8">
        <f>RAW_FINANCIALS!D16</f>
        <v>4240</v>
      </c>
      <c r="E20" s="8">
        <f>RAW_FINANCIALS!E16</f>
        <v>4625</v>
      </c>
      <c r="F20" s="8">
        <f>RAW_FINANCIALS!F16</f>
        <v>5207</v>
      </c>
      <c r="G20" s="8">
        <f>RAW_FINANCIALS!G16</f>
        <v>5518</v>
      </c>
      <c r="H20" s="8">
        <f>RAW_FINANCIALS!H16</f>
        <v>5318</v>
      </c>
      <c r="I20" s="8">
        <f>RAW_FINANCIALS!I16</f>
        <v>4415</v>
      </c>
      <c r="J20" s="20">
        <f>J6*HISTORICAL_KPIs!$J$12</f>
        <v>5569.0027504291293</v>
      </c>
      <c r="K20" s="20">
        <f>K6*HISTORICAL_KPIs!$J$12</f>
        <v>5819.6078741984393</v>
      </c>
      <c r="L20" s="20">
        <f>L6*HISTORICAL_KPIs!$J$12</f>
        <v>6081.4902285373691</v>
      </c>
    </row>
    <row r="21" spans="2:12">
      <c r="B21" s="1" t="s">
        <v>109</v>
      </c>
      <c r="D21" s="7">
        <f>D20/D6</f>
        <v>6.0251236287159664E-2</v>
      </c>
      <c r="E21" s="7">
        <f t="shared" ref="E21:L21" si="14">E20/E6</f>
        <v>5.8195132999471523E-2</v>
      </c>
      <c r="F21" s="7">
        <f t="shared" si="14"/>
        <v>6.0271784424483749E-2</v>
      </c>
      <c r="G21" s="7">
        <f t="shared" si="14"/>
        <v>6.0325130369188046E-2</v>
      </c>
      <c r="H21" s="7">
        <f t="shared" si="14"/>
        <v>5.7896226620506454E-2</v>
      </c>
      <c r="I21" s="7">
        <f t="shared" si="14"/>
        <v>4.7005589566143202E-2</v>
      </c>
      <c r="J21" s="21">
        <f t="shared" si="14"/>
        <v>5.6738772795958591E-2</v>
      </c>
      <c r="K21" s="21">
        <f t="shared" si="14"/>
        <v>5.6738772795958584E-2</v>
      </c>
      <c r="L21" s="21">
        <f t="shared" si="14"/>
        <v>5.6738772795958591E-2</v>
      </c>
    </row>
    <row r="22" spans="2:12">
      <c r="B22" s="1" t="s">
        <v>10</v>
      </c>
      <c r="D22" s="8">
        <f>RAW_FINANCIALS!D17</f>
        <v>6373</v>
      </c>
      <c r="E22" s="8">
        <f>RAW_FINANCIALS!E17</f>
        <v>6991</v>
      </c>
      <c r="F22" s="8">
        <f>RAW_FINANCIALS!F17</f>
        <v>5604</v>
      </c>
      <c r="G22" s="8">
        <f>RAW_FINANCIALS!G17</f>
        <v>7904</v>
      </c>
      <c r="H22" s="8">
        <f>RAW_FINANCIALS!H17</f>
        <v>7189</v>
      </c>
      <c r="I22" s="8">
        <f>RAW_FINANCIALS!I17</f>
        <v>7672</v>
      </c>
      <c r="J22" s="20">
        <f>J19-J20</f>
        <v>7061.9122495708698</v>
      </c>
      <c r="K22" s="20">
        <f t="shared" ref="K22:L22" si="15">K19-K20</f>
        <v>7379.6983008015586</v>
      </c>
      <c r="L22" s="20">
        <f t="shared" si="15"/>
        <v>7711.7847243376282</v>
      </c>
    </row>
    <row r="25" spans="2:12">
      <c r="I25" s="7"/>
      <c r="J25" s="7"/>
      <c r="K25" s="7"/>
      <c r="L25" s="7"/>
    </row>
    <row r="27" spans="2:12">
      <c r="B27" s="1" t="s">
        <v>76</v>
      </c>
    </row>
    <row r="28" spans="2:12">
      <c r="B28" s="1" t="s">
        <v>77</v>
      </c>
    </row>
    <row r="29" spans="2:12">
      <c r="B29" s="1" t="s">
        <v>78</v>
      </c>
    </row>
    <row r="30" spans="2:12">
      <c r="B30" s="1" t="s">
        <v>80</v>
      </c>
    </row>
    <row r="31" spans="2:12">
      <c r="B31" s="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FE04-0CEB-7144-98FD-604E7E4BCD81}">
  <sheetPr>
    <tabColor theme="9" tint="-0.249977111117893"/>
  </sheetPr>
  <dimension ref="B2:F18"/>
  <sheetViews>
    <sheetView showGridLines="0" zoomScale="150" zoomScaleNormal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2" sqref="E12"/>
    </sheetView>
  </sheetViews>
  <sheetFormatPr baseColWidth="10" defaultRowHeight="16"/>
  <cols>
    <col min="1" max="1" width="3.83203125" style="1" customWidth="1"/>
    <col min="2" max="2" width="18" style="1" bestFit="1" customWidth="1"/>
    <col min="3" max="4" width="10.83203125" style="1"/>
    <col min="5" max="5" width="11" style="1" bestFit="1" customWidth="1"/>
    <col min="6" max="16384" width="10.83203125" style="1"/>
  </cols>
  <sheetData>
    <row r="2" spans="2:6" ht="21">
      <c r="B2" s="32" t="s">
        <v>0</v>
      </c>
      <c r="C2" s="16"/>
      <c r="D2" s="16"/>
      <c r="E2" s="16"/>
      <c r="F2" s="16"/>
    </row>
    <row r="4" spans="2:6" ht="17" thickBot="1">
      <c r="D4" s="33">
        <v>25</v>
      </c>
      <c r="E4" s="34">
        <v>26</v>
      </c>
      <c r="F4" s="35" t="s">
        <v>81</v>
      </c>
    </row>
    <row r="5" spans="2:6" ht="17" thickTop="1"/>
    <row r="6" spans="2:6">
      <c r="B6" s="1" t="s">
        <v>1</v>
      </c>
      <c r="D6" s="8">
        <f>FORECAST_MODEL!I6</f>
        <v>93925</v>
      </c>
      <c r="E6" s="8">
        <f>FORECAST_MODEL!J6</f>
        <v>98151.625</v>
      </c>
      <c r="F6" s="13">
        <f>(E6/D6)-1</f>
        <v>4.4999999999999929E-2</v>
      </c>
    </row>
    <row r="7" spans="2:6">
      <c r="B7" s="1" t="s">
        <v>2</v>
      </c>
      <c r="D7" s="8">
        <f>FORECAST_MODEL!I8</f>
        <v>43066</v>
      </c>
      <c r="E7" s="8">
        <f>FORECAST_MODEL!J8</f>
        <v>44904.368437500001</v>
      </c>
      <c r="F7" s="13">
        <f t="shared" ref="F7:F8" si="0">(E7/D7)-1</f>
        <v>4.2687234419263476E-2</v>
      </c>
    </row>
    <row r="8" spans="2:6">
      <c r="B8" s="1" t="s">
        <v>11</v>
      </c>
      <c r="D8" s="8">
        <f>FORECAST_MODEL!I9</f>
        <v>50859</v>
      </c>
      <c r="E8" s="8">
        <f>FORECAST_MODEL!J9</f>
        <v>53247.256562499999</v>
      </c>
      <c r="F8" s="13">
        <f t="shared" si="0"/>
        <v>4.695838617550474E-2</v>
      </c>
    </row>
    <row r="9" spans="2:6">
      <c r="B9" s="1" t="s">
        <v>14</v>
      </c>
      <c r="D9" s="7">
        <f>FORECAST_MODEL!I10</f>
        <v>0.54148522757519302</v>
      </c>
      <c r="E9" s="7">
        <f>FORECAST_MODEL!J10</f>
        <v>0.54249999999999998</v>
      </c>
      <c r="F9" s="29">
        <f>E9-D9</f>
        <v>1.0147724248069645E-3</v>
      </c>
    </row>
    <row r="10" spans="2:6">
      <c r="B10" s="1" t="s">
        <v>3</v>
      </c>
      <c r="D10" s="8">
        <f>FORECAST_MODEL!I11</f>
        <v>37368</v>
      </c>
      <c r="E10" s="8">
        <f>FORECAST_MODEL!J11</f>
        <v>39260.65</v>
      </c>
      <c r="F10" s="13">
        <f>(E10/D10)-1</f>
        <v>5.0648950974095497E-2</v>
      </c>
    </row>
    <row r="11" spans="2:6">
      <c r="B11" s="1" t="s">
        <v>16</v>
      </c>
      <c r="D11" s="12">
        <f>FORECAST_MODEL!I12</f>
        <v>0.39784934788394993</v>
      </c>
      <c r="E11" s="12">
        <f>FORECAST_MODEL!J12</f>
        <v>0.4</v>
      </c>
      <c r="F11" s="30">
        <f>E11-D11</f>
        <v>2.1506521160500891E-3</v>
      </c>
    </row>
    <row r="12" spans="2:6">
      <c r="B12" s="1" t="s">
        <v>4</v>
      </c>
      <c r="D12" s="8">
        <f>FORECAST_MODEL!I13</f>
        <v>11498</v>
      </c>
      <c r="E12" s="8">
        <f>FORECAST_MODEL!J13</f>
        <v>13986.606562499997</v>
      </c>
      <c r="F12" s="13">
        <f>(E12/D12)-1</f>
        <v>0.21643821208036162</v>
      </c>
    </row>
    <row r="13" spans="2:6">
      <c r="B13" s="1" t="s">
        <v>15</v>
      </c>
      <c r="D13" s="7">
        <f>FORECAST_MODEL!I14</f>
        <v>0.12241682193239287</v>
      </c>
      <c r="E13" s="7">
        <f>FORECAST_MODEL!J14</f>
        <v>0.14249999999999996</v>
      </c>
      <c r="F13" s="29">
        <f>E13-D13</f>
        <v>2.0083178067607094E-2</v>
      </c>
    </row>
    <row r="14" spans="2:6">
      <c r="B14" s="1" t="s">
        <v>6</v>
      </c>
      <c r="D14" s="8">
        <f>FORECAST_MODEL!I15</f>
        <v>8240</v>
      </c>
      <c r="E14" s="8">
        <f>FORECAST_MODEL!J15</f>
        <v>11049.419184374998</v>
      </c>
      <c r="F14" s="31">
        <f>(E14/D14)-1</f>
        <v>0.34094893014259675</v>
      </c>
    </row>
    <row r="15" spans="2:6">
      <c r="B15" s="1" t="s">
        <v>7</v>
      </c>
      <c r="D15" s="17">
        <f>FORECAST_MODEL!I18</f>
        <v>6</v>
      </c>
      <c r="E15" s="17">
        <f>FORECAST_MODEL!J18</f>
        <v>8.0476468932083005</v>
      </c>
      <c r="F15" s="31">
        <f t="shared" ref="F15:F18" si="1">(E15/D15)-1</f>
        <v>0.34127448220138334</v>
      </c>
    </row>
    <row r="16" spans="2:6">
      <c r="B16" s="1" t="s">
        <v>8</v>
      </c>
      <c r="D16" s="8">
        <f>FORECAST_MODEL!I19</f>
        <v>12087</v>
      </c>
      <c r="E16" s="8">
        <f>FORECAST_MODEL!J19</f>
        <v>12630.914999999999</v>
      </c>
      <c r="F16" s="31">
        <f t="shared" si="1"/>
        <v>4.4999999999999929E-2</v>
      </c>
    </row>
    <row r="17" spans="2:6">
      <c r="B17" s="1" t="s">
        <v>82</v>
      </c>
      <c r="D17" s="8">
        <f>FORECAST_MODEL!I20</f>
        <v>4415</v>
      </c>
      <c r="E17" s="8">
        <f>FORECAST_MODEL!J20</f>
        <v>5569.0027504291293</v>
      </c>
      <c r="F17" s="31">
        <f t="shared" si="1"/>
        <v>0.2613822764278888</v>
      </c>
    </row>
    <row r="18" spans="2:6">
      <c r="B18" s="1" t="s">
        <v>10</v>
      </c>
      <c r="D18" s="8">
        <f>FORECAST_MODEL!I22</f>
        <v>7672</v>
      </c>
      <c r="E18" s="8">
        <f>FORECAST_MODEL!J22</f>
        <v>7061.9122495708698</v>
      </c>
      <c r="F18" s="31">
        <f t="shared" si="1"/>
        <v>-7.9521343903692698E-2</v>
      </c>
    </row>
  </sheetData>
  <pageMargins left="0.7" right="0.7" top="0.75" bottom="0.75" header="0.3" footer="0.3"/>
  <ignoredErrors>
    <ignoredError sqref="F9:F1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3A09-27E3-184D-A03F-7B58B2116B20}">
  <sheetPr>
    <tabColor theme="5" tint="-0.249977111117893"/>
  </sheetPr>
  <dimension ref="B2:H17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20" sqref="H20"/>
    </sheetView>
  </sheetViews>
  <sheetFormatPr baseColWidth="10" defaultRowHeight="16"/>
  <cols>
    <col min="1" max="1" width="3.83203125" style="1" customWidth="1"/>
    <col min="2" max="2" width="17.1640625" style="1" bestFit="1" customWidth="1"/>
    <col min="3" max="3" width="10.83203125" style="1"/>
    <col min="4" max="4" width="11" style="1" bestFit="1" customWidth="1"/>
    <col min="5" max="5" width="7" style="1" bestFit="1" customWidth="1"/>
    <col min="6" max="6" width="9.6640625" style="1" bestFit="1" customWidth="1"/>
    <col min="7" max="7" width="10" style="1" customWidth="1"/>
    <col min="8" max="8" width="96" style="1" bestFit="1" customWidth="1"/>
    <col min="9" max="16384" width="10.83203125" style="1"/>
  </cols>
  <sheetData>
    <row r="2" spans="2:8" ht="21">
      <c r="B2" s="23" t="s">
        <v>0</v>
      </c>
      <c r="C2" s="16"/>
      <c r="D2" s="16"/>
      <c r="E2" s="16"/>
      <c r="F2" s="16"/>
      <c r="G2" s="16"/>
      <c r="H2" s="16"/>
    </row>
    <row r="4" spans="2:8" ht="17" thickBot="1">
      <c r="D4" s="36">
        <v>26</v>
      </c>
      <c r="E4" s="37">
        <v>26</v>
      </c>
      <c r="F4" s="38" t="s">
        <v>83</v>
      </c>
      <c r="G4" s="38" t="s">
        <v>84</v>
      </c>
      <c r="H4" s="38" t="s">
        <v>37</v>
      </c>
    </row>
    <row r="5" spans="2:8" ht="17" thickTop="1"/>
    <row r="6" spans="2:8">
      <c r="B6" s="1" t="s">
        <v>1</v>
      </c>
      <c r="D6" s="8">
        <f>FY26_AOP!E6</f>
        <v>98151.625</v>
      </c>
      <c r="E6" s="8">
        <v>97170</v>
      </c>
      <c r="F6" s="8">
        <f>E6-D6</f>
        <v>-981.625</v>
      </c>
      <c r="G6" s="7">
        <f>(E6-D6)/D6</f>
        <v>-1.0001107979618269E-2</v>
      </c>
      <c r="H6" s="39" t="s">
        <v>85</v>
      </c>
    </row>
    <row r="7" spans="2:8">
      <c r="B7" s="1" t="s">
        <v>2</v>
      </c>
      <c r="D7" s="8">
        <f>FY26_AOP!E7</f>
        <v>44904.368437500001</v>
      </c>
      <c r="E7" s="8">
        <v>45920</v>
      </c>
      <c r="F7" s="8">
        <f t="shared" ref="F7:F8" si="0">E7-D7</f>
        <v>1015.6315624999988</v>
      </c>
      <c r="G7" s="7">
        <f t="shared" ref="G7:G8" si="1">(E7-D7)/D7</f>
        <v>2.2617656095388634E-2</v>
      </c>
      <c r="H7" s="39" t="s">
        <v>86</v>
      </c>
    </row>
    <row r="8" spans="2:8">
      <c r="B8" s="1" t="s">
        <v>11</v>
      </c>
      <c r="D8" s="8">
        <f>FY26_AOP!E8</f>
        <v>53247.256562499999</v>
      </c>
      <c r="E8" s="8">
        <f>E6-E7</f>
        <v>51250</v>
      </c>
      <c r="F8" s="8">
        <f t="shared" si="0"/>
        <v>-1997.2565624999988</v>
      </c>
      <c r="G8" s="7">
        <f t="shared" si="1"/>
        <v>-3.7509097959923632E-2</v>
      </c>
      <c r="H8" s="39" t="s">
        <v>87</v>
      </c>
    </row>
    <row r="9" spans="2:8">
      <c r="B9" s="1" t="s">
        <v>14</v>
      </c>
      <c r="D9" s="7">
        <f>FY26_AOP!E9</f>
        <v>0.54249999999999998</v>
      </c>
      <c r="E9" s="7">
        <f>E8/E6</f>
        <v>0.52742616033755274</v>
      </c>
      <c r="F9" s="10"/>
      <c r="G9" s="10">
        <f>E9-D9</f>
        <v>-1.5073839662447241E-2</v>
      </c>
      <c r="H9" s="39" t="s">
        <v>88</v>
      </c>
    </row>
    <row r="10" spans="2:8">
      <c r="B10" s="1" t="s">
        <v>3</v>
      </c>
      <c r="D10" s="8">
        <f>FY26_AOP!E10</f>
        <v>39260.65</v>
      </c>
      <c r="E10" s="8">
        <v>39650</v>
      </c>
      <c r="F10" s="8">
        <f>E10-D10</f>
        <v>389.34999999999854</v>
      </c>
      <c r="G10" s="7">
        <f>(E10-D10)/D10</f>
        <v>9.9170543534047081E-3</v>
      </c>
      <c r="H10" s="39" t="s">
        <v>89</v>
      </c>
    </row>
    <row r="11" spans="2:8">
      <c r="B11" s="1" t="s">
        <v>4</v>
      </c>
      <c r="D11" s="8">
        <f>FY26_AOP!E12</f>
        <v>13986.606562499997</v>
      </c>
      <c r="E11" s="8">
        <f>E8-E10</f>
        <v>11600</v>
      </c>
      <c r="F11" s="8">
        <f>E11-D11</f>
        <v>-2386.6065624999974</v>
      </c>
      <c r="G11" s="7">
        <f>(E11-D11)/D11</f>
        <v>-0.17063513954119619</v>
      </c>
      <c r="H11" s="39" t="s">
        <v>90</v>
      </c>
    </row>
    <row r="12" spans="2:8">
      <c r="B12" s="1" t="s">
        <v>15</v>
      </c>
      <c r="D12" s="7">
        <f>FY26_AOP!E13</f>
        <v>0.14249999999999996</v>
      </c>
      <c r="E12" s="11">
        <f>E11/E6</f>
        <v>0.11937840897396315</v>
      </c>
      <c r="F12" s="12"/>
      <c r="G12" s="12">
        <f>E12-D12</f>
        <v>-2.3121591026036808E-2</v>
      </c>
      <c r="H12" s="39" t="s">
        <v>91</v>
      </c>
    </row>
    <row r="13" spans="2:8">
      <c r="B13" s="1" t="s">
        <v>6</v>
      </c>
      <c r="D13" s="8">
        <f>FY26_AOP!E14</f>
        <v>11049.419184374998</v>
      </c>
      <c r="E13" s="8">
        <f>E11*(1-21%)</f>
        <v>9164</v>
      </c>
      <c r="F13" s="8">
        <f>E13-D13</f>
        <v>-1885.4191843749977</v>
      </c>
      <c r="G13" s="7">
        <f>(E13-D13)/D13</f>
        <v>-0.17063513954119616</v>
      </c>
      <c r="H13" s="39" t="s">
        <v>92</v>
      </c>
    </row>
    <row r="14" spans="2:8">
      <c r="B14" s="1" t="s">
        <v>7</v>
      </c>
      <c r="D14" s="17">
        <f>FY26_AOP!E15</f>
        <v>8.0476468932083005</v>
      </c>
      <c r="E14" s="19">
        <f>E13/FORECAST_MODEL!J17</f>
        <v>6.6744355426074291</v>
      </c>
      <c r="F14" s="19">
        <f>E14-D14</f>
        <v>-1.3732113506008714</v>
      </c>
      <c r="G14" s="7">
        <f>(E14-D14)/D14</f>
        <v>-0.17063513954119608</v>
      </c>
      <c r="H14" s="39" t="s">
        <v>93</v>
      </c>
    </row>
    <row r="15" spans="2:8">
      <c r="B15" s="1" t="s">
        <v>71</v>
      </c>
      <c r="D15" s="8">
        <f>FY26_AOP!E16</f>
        <v>12630.914999999999</v>
      </c>
      <c r="E15" s="8">
        <v>12100</v>
      </c>
      <c r="F15" s="8">
        <f>E15-D15</f>
        <v>-530.91499999999905</v>
      </c>
      <c r="G15" s="7">
        <f>(E15-D15)/D15</f>
        <v>-4.2032980191854599E-2</v>
      </c>
      <c r="H15" s="39" t="s">
        <v>94</v>
      </c>
    </row>
    <row r="16" spans="2:8">
      <c r="B16" s="1" t="s">
        <v>9</v>
      </c>
      <c r="D16" s="8">
        <f>FY26_AOP!E17</f>
        <v>5569.0027504291293</v>
      </c>
      <c r="E16" s="8">
        <v>5500</v>
      </c>
      <c r="F16" s="8">
        <f>E16-D16</f>
        <v>-69.002750429129264</v>
      </c>
      <c r="G16" s="7">
        <f>(E16-D16)/D16</f>
        <v>-1.2390503923491891E-2</v>
      </c>
      <c r="H16" s="39" t="s">
        <v>95</v>
      </c>
    </row>
    <row r="17" spans="2:8">
      <c r="B17" s="1" t="s">
        <v>10</v>
      </c>
      <c r="D17" s="8">
        <f>FY26_AOP!E18</f>
        <v>7061.9122495708698</v>
      </c>
      <c r="E17" s="8">
        <f>E15-E16</f>
        <v>6600</v>
      </c>
      <c r="F17" s="8">
        <f>E17-D17</f>
        <v>-461.91224957086979</v>
      </c>
      <c r="G17" s="7">
        <f>(E17-D17)/D17</f>
        <v>-6.5408947781663354E-2</v>
      </c>
      <c r="H17" s="39" t="s">
        <v>96</v>
      </c>
    </row>
  </sheetData>
  <pageMargins left="0.7" right="0.7" top="0.75" bottom="0.75" header="0.3" footer="0.3"/>
  <ignoredErrors>
    <ignoredError sqref="G9 G1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7139-F220-9C4E-8123-A990A7627565}">
  <sheetPr>
    <tabColor theme="5" tint="-0.249977111117893"/>
  </sheetPr>
  <dimension ref="B2:K27"/>
  <sheetViews>
    <sheetView showGridLines="0" zoomScale="88" zoomScaleNormal="140" workbookViewId="0">
      <selection activeCell="P14" sqref="P14"/>
    </sheetView>
  </sheetViews>
  <sheetFormatPr baseColWidth="10" defaultRowHeight="19"/>
  <cols>
    <col min="1" max="1" width="3.83203125" style="9" customWidth="1"/>
    <col min="2" max="2" width="18.83203125" style="9" bestFit="1" customWidth="1"/>
    <col min="3" max="3" width="10.83203125" style="9"/>
    <col min="4" max="4" width="14.6640625" style="9" bestFit="1" customWidth="1"/>
    <col min="5" max="8" width="10.83203125" style="9"/>
    <col min="9" max="9" width="28.1640625" style="9" bestFit="1" customWidth="1"/>
    <col min="10" max="10" width="10.83203125" style="9"/>
    <col min="11" max="11" width="16.33203125" style="9" customWidth="1"/>
    <col min="12" max="16384" width="10.83203125" style="9"/>
  </cols>
  <sheetData>
    <row r="2" spans="2:11" ht="24">
      <c r="B2" s="57" t="s">
        <v>97</v>
      </c>
      <c r="C2" s="57"/>
      <c r="D2" s="57"/>
      <c r="E2" s="57"/>
      <c r="F2" s="57"/>
      <c r="I2" s="49" t="s">
        <v>103</v>
      </c>
    </row>
    <row r="3" spans="2:11" ht="21">
      <c r="I3" s="23" t="s">
        <v>104</v>
      </c>
    </row>
    <row r="4" spans="2:11" ht="24">
      <c r="D4" s="49" t="s">
        <v>98</v>
      </c>
      <c r="E4" s="49" t="s">
        <v>104</v>
      </c>
      <c r="F4" s="49" t="s">
        <v>99</v>
      </c>
    </row>
    <row r="5" spans="2:11" ht="24">
      <c r="I5" s="49" t="s">
        <v>105</v>
      </c>
      <c r="K5" s="49" t="s">
        <v>106</v>
      </c>
    </row>
    <row r="6" spans="2:11">
      <c r="B6" s="9" t="s">
        <v>13</v>
      </c>
      <c r="D6" s="40">
        <v>2.5000000000000001E-2</v>
      </c>
      <c r="E6" s="40">
        <f>ASSUMPTIONS!D8</f>
        <v>4.5000000000000005E-2</v>
      </c>
      <c r="F6" s="40">
        <v>0.06</v>
      </c>
    </row>
    <row r="7" spans="2:11">
      <c r="B7" s="9" t="s">
        <v>64</v>
      </c>
      <c r="D7" s="40">
        <v>0.02</v>
      </c>
      <c r="E7" s="40">
        <f>ASSUMPTIONS!D6</f>
        <v>3.5000000000000003E-2</v>
      </c>
      <c r="F7" s="40">
        <v>0.04</v>
      </c>
      <c r="I7" s="9" t="s">
        <v>13</v>
      </c>
      <c r="K7" s="43">
        <f t="shared" ref="K7:K12" si="0">_xlfn.XLOOKUP($I$3,$D$4:$F$4,D6:F6)</f>
        <v>4.5000000000000005E-2</v>
      </c>
    </row>
    <row r="8" spans="2:11">
      <c r="B8" s="9" t="s">
        <v>100</v>
      </c>
      <c r="D8" s="40">
        <v>5.0000000000000001E-3</v>
      </c>
      <c r="E8" s="40">
        <f>ASSUMPTIONS!D7</f>
        <v>0.01</v>
      </c>
      <c r="F8" s="40">
        <v>0.02</v>
      </c>
      <c r="I8" s="9" t="s">
        <v>64</v>
      </c>
      <c r="K8" s="43">
        <f t="shared" si="0"/>
        <v>3.5000000000000003E-2</v>
      </c>
    </row>
    <row r="9" spans="2:11">
      <c r="B9" s="9" t="s">
        <v>101</v>
      </c>
      <c r="D9" s="40">
        <v>0.04</v>
      </c>
      <c r="E9" s="40">
        <f>ASSUMPTIONS!D9</f>
        <v>0.03</v>
      </c>
      <c r="F9" s="40">
        <v>0.02</v>
      </c>
      <c r="I9" s="9" t="s">
        <v>100</v>
      </c>
      <c r="K9" s="43">
        <f t="shared" si="0"/>
        <v>0.01</v>
      </c>
    </row>
    <row r="10" spans="2:11">
      <c r="B10" s="9" t="s">
        <v>67</v>
      </c>
      <c r="D10" s="40">
        <v>0.46500000000000002</v>
      </c>
      <c r="E10" s="40">
        <f>ASSUMPTIONS!D10</f>
        <v>0.45750000000000002</v>
      </c>
      <c r="F10" s="40">
        <v>0.45</v>
      </c>
      <c r="I10" s="9" t="s">
        <v>101</v>
      </c>
      <c r="K10" s="43">
        <f t="shared" si="0"/>
        <v>0.03</v>
      </c>
    </row>
    <row r="11" spans="2:11">
      <c r="B11" s="9" t="s">
        <v>16</v>
      </c>
      <c r="D11" s="40">
        <v>0.40500000000000003</v>
      </c>
      <c r="E11" s="40">
        <f>ASSUMPTIONS!D12</f>
        <v>0.4</v>
      </c>
      <c r="F11" s="40">
        <v>0.39500000000000002</v>
      </c>
      <c r="I11" s="9" t="s">
        <v>67</v>
      </c>
      <c r="K11" s="43">
        <f t="shared" si="0"/>
        <v>0.45750000000000002</v>
      </c>
    </row>
    <row r="12" spans="2:11">
      <c r="D12" s="40"/>
      <c r="E12" s="40"/>
      <c r="F12" s="40"/>
      <c r="I12" s="9" t="s">
        <v>16</v>
      </c>
      <c r="K12" s="43">
        <f t="shared" si="0"/>
        <v>0.4</v>
      </c>
    </row>
    <row r="15" spans="2:11" ht="24">
      <c r="I15" s="49" t="s">
        <v>102</v>
      </c>
    </row>
    <row r="17" spans="9:11">
      <c r="I17" s="9" t="s">
        <v>1</v>
      </c>
      <c r="K17" s="44">
        <f>FORECAST_MODEL!I6*(1+SCENARIO_ANALYSIS!K7)</f>
        <v>98151.625</v>
      </c>
    </row>
    <row r="18" spans="9:11">
      <c r="I18" s="9" t="s">
        <v>107</v>
      </c>
      <c r="K18" s="44">
        <f>K17*K11</f>
        <v>44904.368437500001</v>
      </c>
    </row>
    <row r="19" spans="9:11">
      <c r="I19" s="9" t="s">
        <v>11</v>
      </c>
      <c r="K19" s="44">
        <f>K17-K18</f>
        <v>53247.256562499999</v>
      </c>
    </row>
    <row r="20" spans="9:11">
      <c r="I20" s="9" t="s">
        <v>3</v>
      </c>
      <c r="K20" s="44">
        <f>K17*K12</f>
        <v>39260.65</v>
      </c>
    </row>
    <row r="21" spans="9:11">
      <c r="I21" s="9" t="s">
        <v>4</v>
      </c>
      <c r="K21" s="44">
        <f>K19-K20</f>
        <v>13986.606562499997</v>
      </c>
    </row>
    <row r="22" spans="9:11">
      <c r="I22" s="9" t="s">
        <v>5</v>
      </c>
      <c r="K22" s="42">
        <f>K21/K17</f>
        <v>0.14249999999999996</v>
      </c>
    </row>
    <row r="23" spans="9:11">
      <c r="I23" s="9" t="s">
        <v>6</v>
      </c>
      <c r="K23" s="44">
        <f>K21*(1-FORECAST_MODEL!J16)</f>
        <v>11049.419184374998</v>
      </c>
    </row>
    <row r="24" spans="9:11">
      <c r="I24" s="9" t="s">
        <v>7</v>
      </c>
      <c r="K24" s="41">
        <f>K23/FORECAST_MODEL!J17</f>
        <v>8.0476468932083005</v>
      </c>
    </row>
    <row r="25" spans="9:11">
      <c r="I25" s="9" t="s">
        <v>71</v>
      </c>
      <c r="K25" s="44">
        <f>FORECAST_MODEL!I19*(1+SCENARIO_ANALYSIS!K7)</f>
        <v>12630.914999999999</v>
      </c>
    </row>
    <row r="26" spans="9:11">
      <c r="I26" s="9" t="s">
        <v>108</v>
      </c>
      <c r="K26" s="44">
        <f>K17*FORECAST_MODEL!J21</f>
        <v>5569.0027504291293</v>
      </c>
    </row>
    <row r="27" spans="9:11">
      <c r="I27" s="9" t="s">
        <v>10</v>
      </c>
      <c r="K27" s="44">
        <f>K25-K26</f>
        <v>7061.9122495708698</v>
      </c>
    </row>
  </sheetData>
  <dataValidations count="1">
    <dataValidation type="list" allowBlank="1" showInputMessage="1" showErrorMessage="1" sqref="I3" xr:uid="{D42BC6F3-1EB7-314D-B9B0-7599F24F2CCC}">
      <formula1>"Downside,Base,Upside"</formula1>
    </dataValidation>
  </dataValidations>
  <pageMargins left="0.7" right="0.7" top="0.75" bottom="0.75" header="0.3" footer="0.3"/>
  <ignoredErrors>
    <ignoredError sqref="K20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8F6F-4C30-E342-898B-E3B1D4F2D6F2}">
  <sheetPr>
    <tabColor theme="5" tint="-0.249977111117893"/>
  </sheetPr>
  <dimension ref="B1:AC34"/>
  <sheetViews>
    <sheetView showGridLines="0" topLeftCell="A2" zoomScale="80" zoomScaleNormal="80" workbookViewId="0">
      <selection activeCell="B7" sqref="B7:E10"/>
    </sheetView>
  </sheetViews>
  <sheetFormatPr baseColWidth="10" defaultRowHeight="19"/>
  <cols>
    <col min="1" max="1" width="3.83203125" style="9" customWidth="1"/>
    <col min="2" max="21" width="14.83203125" style="9" customWidth="1"/>
    <col min="22" max="22" width="7" style="9" bestFit="1" customWidth="1"/>
    <col min="23" max="23" width="18.33203125" style="9" bestFit="1" customWidth="1"/>
    <col min="24" max="24" width="24.5" style="9" customWidth="1"/>
    <col min="25" max="26" width="10.83203125" style="9"/>
    <col min="27" max="27" width="7" style="9" bestFit="1" customWidth="1"/>
    <col min="28" max="28" width="18.33203125" style="9" bestFit="1" customWidth="1"/>
    <col min="29" max="29" width="23" style="9" bestFit="1" customWidth="1"/>
    <col min="30" max="16384" width="10.83203125" style="9"/>
  </cols>
  <sheetData>
    <row r="1" spans="2:29" ht="25" customHeight="1">
      <c r="B1" s="75" t="s">
        <v>116</v>
      </c>
      <c r="C1" s="76"/>
      <c r="D1" s="76"/>
      <c r="E1" s="76"/>
      <c r="F1" s="76"/>
    </row>
    <row r="2" spans="2:29" ht="25" customHeight="1">
      <c r="B2" s="76"/>
      <c r="C2" s="76"/>
      <c r="D2" s="76"/>
      <c r="E2" s="76"/>
      <c r="F2" s="76"/>
    </row>
    <row r="3" spans="2:29" ht="25" customHeight="1">
      <c r="B3" s="77" t="s">
        <v>117</v>
      </c>
      <c r="C3" s="77"/>
      <c r="D3" s="77"/>
      <c r="E3" s="77"/>
      <c r="F3" s="77"/>
      <c r="G3" s="77"/>
      <c r="H3" s="77"/>
    </row>
    <row r="4" spans="2:29" ht="25" customHeight="1" thickBot="1">
      <c r="AA4" s="9" t="s">
        <v>114</v>
      </c>
      <c r="AB4" s="9" t="s">
        <v>111</v>
      </c>
      <c r="AC4" s="9" t="s">
        <v>112</v>
      </c>
    </row>
    <row r="5" spans="2:29" ht="25" customHeight="1" thickTop="1">
      <c r="B5" s="78" t="s">
        <v>110</v>
      </c>
      <c r="C5" s="79"/>
      <c r="D5" s="79"/>
      <c r="E5" s="80"/>
      <c r="G5" s="78" t="s">
        <v>115</v>
      </c>
      <c r="H5" s="79"/>
      <c r="I5" s="79"/>
      <c r="J5" s="80"/>
      <c r="L5" s="78" t="s">
        <v>111</v>
      </c>
      <c r="M5" s="79"/>
      <c r="N5" s="79"/>
      <c r="O5" s="80"/>
      <c r="AA5" s="47">
        <v>20</v>
      </c>
      <c r="AB5" s="42">
        <f>FORECAST_MODEL!D10</f>
        <v>0.54815835843801508</v>
      </c>
      <c r="AC5" s="42">
        <f>FORECAST_MODEL!D14</f>
        <v>0.14319999999999999</v>
      </c>
    </row>
    <row r="6" spans="2:29" ht="25" customHeight="1">
      <c r="B6" s="81"/>
      <c r="C6" s="82"/>
      <c r="D6" s="82"/>
      <c r="E6" s="83"/>
      <c r="G6" s="81"/>
      <c r="H6" s="82"/>
      <c r="I6" s="82"/>
      <c r="J6" s="83"/>
      <c r="L6" s="81"/>
      <c r="M6" s="82"/>
      <c r="N6" s="82"/>
      <c r="O6" s="83"/>
      <c r="AA6" s="47">
        <v>21</v>
      </c>
      <c r="AB6" s="42">
        <f>FORECAST_MODEL!E10</f>
        <v>0.53349523114477693</v>
      </c>
      <c r="AC6" s="42">
        <f>FORECAST_MODEL!E14</f>
        <v>0.14044999999999999</v>
      </c>
    </row>
    <row r="7" spans="2:29" ht="25" customHeight="1">
      <c r="B7" s="97">
        <f>FORECAST_MODEL!J6</f>
        <v>98151.625</v>
      </c>
      <c r="C7" s="98"/>
      <c r="D7" s="98"/>
      <c r="E7" s="99"/>
      <c r="G7" s="84">
        <f>FORECAST_MODEL!J7</f>
        <v>4.4999999999999929E-2</v>
      </c>
      <c r="H7" s="85"/>
      <c r="I7" s="85"/>
      <c r="J7" s="86"/>
      <c r="L7" s="84">
        <f>FORECAST_MODEL!J10</f>
        <v>0.54249999999999998</v>
      </c>
      <c r="M7" s="85"/>
      <c r="N7" s="85"/>
      <c r="O7" s="86"/>
      <c r="AA7" s="47">
        <v>22</v>
      </c>
      <c r="AB7" s="42">
        <f>FORECAST_MODEL!F10</f>
        <v>0.5303268821187147</v>
      </c>
      <c r="AC7" s="42">
        <f>FORECAST_MODEL!F14</f>
        <v>0.13325000000000001</v>
      </c>
    </row>
    <row r="8" spans="2:29" ht="25" customHeight="1">
      <c r="B8" s="97"/>
      <c r="C8" s="98"/>
      <c r="D8" s="98"/>
      <c r="E8" s="99"/>
      <c r="G8" s="84"/>
      <c r="H8" s="85"/>
      <c r="I8" s="85"/>
      <c r="J8" s="86"/>
      <c r="L8" s="84"/>
      <c r="M8" s="85"/>
      <c r="N8" s="85"/>
      <c r="O8" s="86"/>
      <c r="AA8" s="47">
        <v>23</v>
      </c>
      <c r="AB8" s="42">
        <f>FORECAST_MODEL!G10</f>
        <v>0.54213903860239854</v>
      </c>
      <c r="AC8" s="42">
        <f>FORECAST_MODEL!G14</f>
        <v>0.13103999999999999</v>
      </c>
    </row>
    <row r="9" spans="2:29" ht="25" customHeight="1">
      <c r="B9" s="97"/>
      <c r="C9" s="98"/>
      <c r="D9" s="98"/>
      <c r="E9" s="99"/>
      <c r="G9" s="84"/>
      <c r="H9" s="85"/>
      <c r="I9" s="85"/>
      <c r="J9" s="86"/>
      <c r="L9" s="84"/>
      <c r="M9" s="85"/>
      <c r="N9" s="85"/>
      <c r="O9" s="86"/>
      <c r="AA9" s="47">
        <v>24</v>
      </c>
      <c r="AB9" s="42">
        <f>FORECAST_MODEL!H10</f>
        <v>0.54553966076599825</v>
      </c>
      <c r="AC9" s="42">
        <f>FORECAST_MODEL!H14</f>
        <v>0.14030000000000001</v>
      </c>
    </row>
    <row r="10" spans="2:29" ht="25" customHeight="1" thickBot="1">
      <c r="B10" s="100"/>
      <c r="C10" s="101"/>
      <c r="D10" s="101"/>
      <c r="E10" s="102"/>
      <c r="G10" s="87"/>
      <c r="H10" s="88"/>
      <c r="I10" s="88"/>
      <c r="J10" s="89"/>
      <c r="L10" s="87"/>
      <c r="M10" s="88"/>
      <c r="N10" s="88"/>
      <c r="O10" s="89"/>
      <c r="AA10" s="47">
        <v>25</v>
      </c>
      <c r="AB10" s="42">
        <f>FORECAST_MODEL!I10</f>
        <v>0.54148522757519302</v>
      </c>
      <c r="AC10" s="42">
        <f>FORECAST_MODEL!I14</f>
        <v>0.12241682193239287</v>
      </c>
    </row>
    <row r="11" spans="2:29" ht="25" customHeight="1" thickTop="1">
      <c r="AA11" s="48">
        <v>26</v>
      </c>
      <c r="AB11" s="42">
        <f>FORECAST_MODEL!J10</f>
        <v>0.54249999999999998</v>
      </c>
      <c r="AC11" s="42">
        <f>FORECAST_MODEL!J14</f>
        <v>0.14249999999999996</v>
      </c>
    </row>
    <row r="12" spans="2:29" ht="25" customHeight="1" thickBot="1">
      <c r="AA12" s="48">
        <v>27</v>
      </c>
      <c r="AB12" s="42">
        <f>FORECAST_MODEL!K10</f>
        <v>0.54499999999999993</v>
      </c>
      <c r="AC12" s="42">
        <f>FORECAST_MODEL!K14</f>
        <v>0.14749999999999999</v>
      </c>
    </row>
    <row r="13" spans="2:29" ht="25" customHeight="1" thickTop="1">
      <c r="B13" s="78" t="s">
        <v>112</v>
      </c>
      <c r="C13" s="79"/>
      <c r="D13" s="79"/>
      <c r="E13" s="80"/>
      <c r="G13" s="78" t="s">
        <v>7</v>
      </c>
      <c r="H13" s="79"/>
      <c r="I13" s="79"/>
      <c r="J13" s="80"/>
      <c r="L13" s="78" t="s">
        <v>113</v>
      </c>
      <c r="M13" s="79"/>
      <c r="N13" s="79"/>
      <c r="O13" s="80"/>
      <c r="AA13" s="48">
        <v>28</v>
      </c>
      <c r="AB13" s="42">
        <f>FORECAST_MODEL!L10</f>
        <v>0.54749999999999999</v>
      </c>
      <c r="AC13" s="42">
        <f>FORECAST_MODEL!L14</f>
        <v>0.15249999999999994</v>
      </c>
    </row>
    <row r="14" spans="2:29" ht="25" customHeight="1">
      <c r="B14" s="81"/>
      <c r="C14" s="82"/>
      <c r="D14" s="82"/>
      <c r="E14" s="83"/>
      <c r="G14" s="81"/>
      <c r="H14" s="82"/>
      <c r="I14" s="82"/>
      <c r="J14" s="83"/>
      <c r="L14" s="81"/>
      <c r="M14" s="82"/>
      <c r="N14" s="82"/>
      <c r="O14" s="83"/>
    </row>
    <row r="15" spans="2:29" ht="25" customHeight="1">
      <c r="B15" s="84">
        <f>FORECAST_MODEL!J14</f>
        <v>0.14249999999999996</v>
      </c>
      <c r="C15" s="85"/>
      <c r="D15" s="85"/>
      <c r="E15" s="86"/>
      <c r="G15" s="90">
        <f>FORECAST_MODEL!J18</f>
        <v>8.0476468932083005</v>
      </c>
      <c r="H15" s="91"/>
      <c r="I15" s="91"/>
      <c r="J15" s="92"/>
      <c r="L15" s="69">
        <f>FORECAST_MODEL!J22</f>
        <v>7061.9122495708698</v>
      </c>
      <c r="M15" s="70"/>
      <c r="N15" s="70"/>
      <c r="O15" s="71"/>
    </row>
    <row r="16" spans="2:29" ht="25" customHeight="1">
      <c r="B16" s="84"/>
      <c r="C16" s="85"/>
      <c r="D16" s="85"/>
      <c r="E16" s="86"/>
      <c r="G16" s="93"/>
      <c r="H16" s="91"/>
      <c r="I16" s="91"/>
      <c r="J16" s="92"/>
      <c r="L16" s="69"/>
      <c r="M16" s="70"/>
      <c r="N16" s="70"/>
      <c r="O16" s="71"/>
    </row>
    <row r="17" spans="2:15" ht="25" customHeight="1">
      <c r="B17" s="84"/>
      <c r="C17" s="85"/>
      <c r="D17" s="85"/>
      <c r="E17" s="86"/>
      <c r="G17" s="93"/>
      <c r="H17" s="91"/>
      <c r="I17" s="91"/>
      <c r="J17" s="92"/>
      <c r="L17" s="69"/>
      <c r="M17" s="70"/>
      <c r="N17" s="70"/>
      <c r="O17" s="71"/>
    </row>
    <row r="18" spans="2:15" ht="25" customHeight="1" thickBot="1">
      <c r="B18" s="87"/>
      <c r="C18" s="88"/>
      <c r="D18" s="88"/>
      <c r="E18" s="89"/>
      <c r="G18" s="94"/>
      <c r="H18" s="95"/>
      <c r="I18" s="95"/>
      <c r="J18" s="96"/>
      <c r="L18" s="72"/>
      <c r="M18" s="73"/>
      <c r="N18" s="73"/>
      <c r="O18" s="74"/>
    </row>
    <row r="19" spans="2:15" ht="25" customHeight="1" thickTop="1"/>
    <row r="20" spans="2:15" ht="25" customHeight="1"/>
    <row r="21" spans="2:15" ht="25" customHeight="1"/>
    <row r="22" spans="2:15" ht="25" customHeight="1"/>
    <row r="23" spans="2:15" ht="25" customHeight="1"/>
    <row r="24" spans="2:15" ht="25" customHeight="1"/>
    <row r="25" spans="2:15" ht="25" customHeight="1"/>
    <row r="26" spans="2:15" ht="25" customHeight="1"/>
    <row r="27" spans="2:15" ht="25" customHeight="1"/>
    <row r="28" spans="2:15" ht="25" customHeight="1"/>
    <row r="29" spans="2:15" ht="25" customHeight="1"/>
    <row r="30" spans="2:15" ht="25" customHeight="1"/>
    <row r="31" spans="2:15" ht="25" customHeight="1"/>
    <row r="32" spans="2:15" ht="25" customHeight="1"/>
    <row r="33" ht="25" customHeight="1"/>
    <row r="34" ht="25" customHeight="1"/>
  </sheetData>
  <mergeCells count="14">
    <mergeCell ref="L15:O18"/>
    <mergeCell ref="B1:F2"/>
    <mergeCell ref="B3:H3"/>
    <mergeCell ref="B13:E14"/>
    <mergeCell ref="B15:E18"/>
    <mergeCell ref="G13:J14"/>
    <mergeCell ref="G15:J18"/>
    <mergeCell ref="L13:O14"/>
    <mergeCell ref="B5:E6"/>
    <mergeCell ref="B7:E10"/>
    <mergeCell ref="G5:J6"/>
    <mergeCell ref="G7:J10"/>
    <mergeCell ref="L5:O6"/>
    <mergeCell ref="L7:O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050E-3BD8-3D4A-8F4A-9C834628DD49}">
  <sheetPr>
    <tabColor theme="5" tint="-0.249977111117893"/>
  </sheetPr>
  <dimension ref="B2:G25"/>
  <sheetViews>
    <sheetView showGridLines="0" zoomScale="90" zoomScaleNormal="90" workbookViewId="0">
      <selection activeCell="J5" sqref="J5"/>
    </sheetView>
  </sheetViews>
  <sheetFormatPr baseColWidth="10" defaultRowHeight="19"/>
  <cols>
    <col min="1" max="1" width="3.83203125" style="9" customWidth="1"/>
    <col min="2" max="2" width="13" style="9" customWidth="1"/>
    <col min="3" max="6" width="40.83203125" style="9" customWidth="1"/>
    <col min="7" max="7" width="16.5" style="9" customWidth="1"/>
    <col min="8" max="16384" width="10.83203125" style="9"/>
  </cols>
  <sheetData>
    <row r="2" spans="2:7" ht="100" customHeight="1">
      <c r="B2" s="52" t="s">
        <v>118</v>
      </c>
      <c r="C2" s="53" t="s">
        <v>119</v>
      </c>
      <c r="D2" s="53" t="s">
        <v>120</v>
      </c>
      <c r="E2" s="53" t="s">
        <v>151</v>
      </c>
      <c r="F2" s="53" t="s">
        <v>121</v>
      </c>
      <c r="G2" s="54" t="s">
        <v>122</v>
      </c>
    </row>
    <row r="3" spans="2:7" ht="100" customHeight="1">
      <c r="B3" s="51" t="s">
        <v>123</v>
      </c>
      <c r="C3" s="51" t="s">
        <v>125</v>
      </c>
      <c r="D3" s="51" t="s">
        <v>126</v>
      </c>
      <c r="E3" s="51" t="s">
        <v>127</v>
      </c>
      <c r="F3" s="51" t="s">
        <v>128</v>
      </c>
      <c r="G3" s="51" t="s">
        <v>129</v>
      </c>
    </row>
    <row r="4" spans="2:7" ht="100" customHeight="1">
      <c r="B4" s="51" t="s">
        <v>123</v>
      </c>
      <c r="C4" s="51" t="s">
        <v>124</v>
      </c>
      <c r="D4" s="51" t="s">
        <v>130</v>
      </c>
      <c r="E4" s="51" t="s">
        <v>131</v>
      </c>
      <c r="F4" s="51" t="s">
        <v>132</v>
      </c>
      <c r="G4" s="51" t="s">
        <v>133</v>
      </c>
    </row>
    <row r="5" spans="2:7" ht="100" customHeight="1">
      <c r="B5" s="51" t="s">
        <v>134</v>
      </c>
      <c r="C5" s="51" t="s">
        <v>135</v>
      </c>
      <c r="D5" s="51" t="s">
        <v>136</v>
      </c>
      <c r="E5" s="51" t="s">
        <v>137</v>
      </c>
      <c r="F5" s="51" t="s">
        <v>138</v>
      </c>
      <c r="G5" s="51" t="s">
        <v>139</v>
      </c>
    </row>
    <row r="6" spans="2:7" ht="100" customHeight="1">
      <c r="B6" s="51" t="s">
        <v>134</v>
      </c>
      <c r="C6" s="51" t="s">
        <v>140</v>
      </c>
      <c r="D6" s="51" t="s">
        <v>142</v>
      </c>
      <c r="E6" s="51" t="s">
        <v>141</v>
      </c>
      <c r="F6" s="51" t="s">
        <v>143</v>
      </c>
      <c r="G6" s="51" t="s">
        <v>144</v>
      </c>
    </row>
    <row r="7" spans="2:7" ht="100" customHeight="1">
      <c r="B7" s="51" t="s">
        <v>145</v>
      </c>
      <c r="C7" s="51" t="s">
        <v>146</v>
      </c>
      <c r="D7" s="51" t="s">
        <v>148</v>
      </c>
      <c r="E7" s="51" t="s">
        <v>147</v>
      </c>
      <c r="F7" s="51" t="s">
        <v>149</v>
      </c>
      <c r="G7" s="51" t="s">
        <v>150</v>
      </c>
    </row>
    <row r="8" spans="2:7" ht="100" customHeight="1">
      <c r="B8" s="50"/>
      <c r="C8" s="50"/>
      <c r="D8" s="50"/>
      <c r="E8" s="50"/>
      <c r="F8" s="50"/>
      <c r="G8" s="50"/>
    </row>
    <row r="9" spans="2:7" ht="100" customHeight="1">
      <c r="B9" s="50"/>
      <c r="C9" s="50"/>
      <c r="D9" s="50"/>
      <c r="E9" s="50"/>
      <c r="F9" s="50"/>
      <c r="G9" s="50"/>
    </row>
    <row r="10" spans="2:7" ht="100" customHeight="1">
      <c r="B10" s="50"/>
      <c r="C10" s="50"/>
      <c r="D10" s="50"/>
      <c r="E10" s="50"/>
      <c r="F10" s="50"/>
      <c r="G10" s="50"/>
    </row>
    <row r="11" spans="2:7" ht="100" customHeight="1">
      <c r="B11" s="50"/>
      <c r="C11" s="50"/>
      <c r="D11" s="50"/>
      <c r="E11" s="50"/>
      <c r="F11" s="50"/>
      <c r="G11" s="50"/>
    </row>
    <row r="12" spans="2:7" ht="100" customHeight="1">
      <c r="B12" s="50"/>
      <c r="C12" s="50"/>
      <c r="D12" s="50"/>
      <c r="E12" s="50"/>
      <c r="F12" s="50"/>
      <c r="G12" s="50"/>
    </row>
    <row r="13" spans="2:7" ht="100" customHeight="1">
      <c r="B13" s="50"/>
      <c r="C13" s="50"/>
      <c r="D13" s="50"/>
      <c r="E13" s="50"/>
      <c r="F13" s="50"/>
      <c r="G13" s="50"/>
    </row>
    <row r="14" spans="2:7" ht="100" customHeight="1">
      <c r="B14" s="50"/>
      <c r="C14" s="50"/>
      <c r="D14" s="50"/>
      <c r="E14" s="50"/>
      <c r="F14" s="50"/>
      <c r="G14" s="50"/>
    </row>
    <row r="15" spans="2:7" ht="100" customHeight="1">
      <c r="B15" s="50"/>
      <c r="C15" s="50"/>
      <c r="D15" s="50"/>
      <c r="E15" s="50"/>
      <c r="F15" s="50"/>
      <c r="G15" s="50"/>
    </row>
    <row r="16" spans="2:7" ht="100" customHeight="1">
      <c r="B16" s="50"/>
      <c r="C16" s="50"/>
      <c r="D16" s="50"/>
      <c r="E16" s="50"/>
      <c r="F16" s="50"/>
      <c r="G16" s="50"/>
    </row>
    <row r="17" spans="2:7" ht="100" customHeight="1">
      <c r="B17" s="50"/>
      <c r="C17" s="50"/>
      <c r="D17" s="50"/>
      <c r="E17" s="50"/>
      <c r="F17" s="50"/>
      <c r="G17" s="50"/>
    </row>
    <row r="18" spans="2:7" ht="100" customHeight="1">
      <c r="B18" s="50"/>
      <c r="C18" s="50"/>
      <c r="D18" s="50"/>
      <c r="E18" s="50"/>
      <c r="F18" s="50"/>
      <c r="G18" s="50"/>
    </row>
    <row r="19" spans="2:7" ht="100" customHeight="1">
      <c r="B19" s="50"/>
      <c r="C19" s="50"/>
      <c r="D19" s="50"/>
      <c r="E19" s="50"/>
      <c r="F19" s="50"/>
      <c r="G19" s="50"/>
    </row>
    <row r="20" spans="2:7" ht="100" customHeight="1">
      <c r="B20" s="50"/>
      <c r="C20" s="50"/>
      <c r="D20" s="50"/>
      <c r="E20" s="50"/>
      <c r="F20" s="50"/>
      <c r="G20" s="50"/>
    </row>
    <row r="21" spans="2:7" ht="100" customHeight="1">
      <c r="B21" s="50"/>
      <c r="C21" s="50"/>
      <c r="D21" s="50"/>
      <c r="E21" s="50"/>
      <c r="F21" s="50"/>
      <c r="G21" s="50"/>
    </row>
    <row r="22" spans="2:7" ht="100" customHeight="1">
      <c r="B22" s="50"/>
      <c r="C22" s="50"/>
      <c r="D22" s="50"/>
      <c r="E22" s="50"/>
      <c r="F22" s="50"/>
      <c r="G22" s="50"/>
    </row>
    <row r="23" spans="2:7" ht="100" customHeight="1">
      <c r="B23" s="50"/>
      <c r="C23" s="50"/>
      <c r="D23" s="50"/>
      <c r="E23" s="50"/>
      <c r="F23" s="50"/>
      <c r="G23" s="50"/>
    </row>
    <row r="24" spans="2:7" ht="100" customHeight="1">
      <c r="B24" s="50"/>
      <c r="C24" s="50"/>
      <c r="D24" s="50"/>
      <c r="E24" s="50"/>
      <c r="F24" s="50"/>
      <c r="G24" s="50"/>
    </row>
    <row r="25" spans="2:7" ht="100" customHeight="1">
      <c r="B25" s="50"/>
      <c r="C25" s="50"/>
      <c r="D25" s="50"/>
      <c r="E25" s="50"/>
      <c r="F25" s="50"/>
      <c r="G2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RAW_FINANCIALS</vt:lpstr>
      <vt:lpstr>HISTORICAL_KPIs</vt:lpstr>
      <vt:lpstr>SEGMENT_REVENUE</vt:lpstr>
      <vt:lpstr>MANAGEMENT_GUIDANCE</vt:lpstr>
      <vt:lpstr>ASSUMPTIONS</vt:lpstr>
      <vt:lpstr>FORECAST_MODEL</vt:lpstr>
      <vt:lpstr>FY26_AOP</vt:lpstr>
      <vt:lpstr>VARIANCE_ANALYSIS</vt:lpstr>
      <vt:lpstr>SCENARIO_ANALYSIS</vt:lpstr>
      <vt:lpstr>KPI_DASHBOARD</vt:lpstr>
      <vt:lpstr>MANAGEMENT_RECOMMENDATIONS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NV</dc:creator>
  <cp:lastModifiedBy>Nikhil NV</cp:lastModifiedBy>
  <dcterms:created xsi:type="dcterms:W3CDTF">2026-06-14T21:24:40Z</dcterms:created>
  <dcterms:modified xsi:type="dcterms:W3CDTF">2026-07-01T02:44:45Z</dcterms:modified>
</cp:coreProperties>
</file>